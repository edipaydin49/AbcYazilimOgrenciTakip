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Çarpım Tablosu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Örnek: 2'ler ile 6'lar arası için Başlangıç=2, Bitiş=6</t>
        </r>
      </text>
    </comment>
  </commentList>
</comments>
</file>

<file path=xl/sharedStrings.xml><?xml version="1.0" encoding="utf-8"?>
<sst xmlns="http://schemas.openxmlformats.org/spreadsheetml/2006/main" count="20" uniqueCount="20">
  <si>
    <t xml:space="preserve">RASTGELE ÇARPIM TABLOSU OLUŞTURUCU</t>
  </si>
  <si>
    <t xml:space="preserve">Soru sayısı</t>
  </si>
  <si>
    <t xml:space="preserve">1 ile 200 arası</t>
  </si>
  <si>
    <t xml:space="preserve">Başlangıç tablosu</t>
  </si>
  <si>
    <t xml:space="preserve">Örn: 2 (2'ler tablosu)</t>
  </si>
  <si>
    <t xml:space="preserve">Bitiş tablosu</t>
  </si>
  <si>
    <t xml:space="preserve">Örn: 6 (6'lar tablosu)</t>
  </si>
  <si>
    <t xml:space="preserve">Seçim tipi</t>
  </si>
  <si>
    <t xml:space="preserve">Aralık</t>
  </si>
  <si>
    <t xml:space="preserve">Aralık = 2,3,4,5,6 hepsi | Sadece seçilenler = yalnız 2 ve 6</t>
  </si>
  <si>
    <t xml:space="preserve">Çarpan en küçük</t>
  </si>
  <si>
    <t xml:space="preserve">Tablonun çarpılacağı en küçük sayı</t>
  </si>
  <si>
    <t xml:space="preserve">Çarpan en büyük</t>
  </si>
  <si>
    <t xml:space="preserve">Tablonun çarpılacağı en büyük sayı</t>
  </si>
  <si>
    <t xml:space="preserve">Sarı hücreleri değiştirin. Yeni rastgele liste için F9 tuşuna basın. Listeyi sabitlemek için: Kopyala → Değerleri Yapıştır.</t>
  </si>
  <si>
    <t xml:space="preserve">No</t>
  </si>
  <si>
    <t xml:space="preserve">Sayı</t>
  </si>
  <si>
    <t xml:space="preserve">Çarpan</t>
  </si>
  <si>
    <t xml:space="preserve">Sonuç</t>
  </si>
  <si>
    <t xml:space="preserve">Soru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</si>
</sst>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AF1FB"/>
        </patternFill>
      </fill>
      <border diagonalUp="false" diagonalDown="false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10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3" t="n">
        <v>20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v>2</v>
      </c>
      <c r="C4" s="4" t="s">
        <v>4</v>
      </c>
    </row>
    <row r="5" customFormat="false" ht="15" hidden="false" customHeight="false" outlineLevel="0" collapsed="false">
      <c r="A5" s="2" t="s">
        <v>5</v>
      </c>
      <c r="B5" s="3" t="n">
        <v>6</v>
      </c>
      <c r="C5" s="4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  <c r="C6" s="4" t="s">
        <v>9</v>
      </c>
    </row>
    <row r="7" customFormat="false" ht="15" hidden="false" customHeight="false" outlineLevel="0" collapsed="false">
      <c r="A7" s="2" t="s">
        <v>10</v>
      </c>
      <c r="B7" s="3" t="n">
        <v>1</v>
      </c>
      <c r="C7" s="4" t="s">
        <v>11</v>
      </c>
    </row>
    <row r="8" customFormat="false" ht="15" hidden="false" customHeight="false" outlineLevel="0" collapsed="false">
      <c r="A8" s="2" t="s">
        <v>12</v>
      </c>
      <c r="B8" s="3" t="n">
        <v>10</v>
      </c>
      <c r="C8" s="4" t="s">
        <v>13</v>
      </c>
    </row>
    <row r="10" customFormat="false" ht="15" hidden="false" customHeight="false" outlineLevel="0" collapsed="false">
      <c r="A10" s="5" t="s">
        <v>14</v>
      </c>
      <c r="B10" s="5"/>
      <c r="C10" s="5"/>
      <c r="D10" s="5"/>
      <c r="E10" s="5"/>
      <c r="F10" s="5"/>
      <c r="G10" s="5"/>
    </row>
    <row r="12" customFormat="false" ht="15" hidden="false" customHeight="false" outlineLevel="0" collapsed="false">
      <c r="A12" s="6" t="s">
        <v>15</v>
      </c>
      <c r="B12" s="6" t="s">
        <v>16</v>
      </c>
      <c r="C12" s="6"/>
      <c r="D12" s="6" t="s">
        <v>17</v>
      </c>
      <c r="E12" s="6"/>
      <c r="F12" s="6" t="s">
        <v>18</v>
      </c>
      <c r="G12" s="6" t="s">
        <v>19</v>
      </c>
    </row>
    <row r="13" customFormat="false" ht="15" hidden="false" customHeight="false" outlineLevel="0" collapsed="false">
      <c r="A13" s="7" t="n">
        <f aca="false">IF(1&lt;=$B$3,1,"")</f>
        <v>1</v>
      </c>
      <c r="B13" s="7" t="n">
        <f aca="false">IF(1&lt;=$B$3,IF($B$6="Aralık",RANDBETWEEN(MIN($B$4,$B$5),MAX($B$4,$B$5)),CHOOSE(RANDBETWEEN(1,2),$B$4,$B$5)),"")</f>
        <v>3</v>
      </c>
      <c r="C13" s="7" t="str">
        <f aca="false">IF(1&lt;=$B$3,"x","")</f>
        <v>x</v>
      </c>
      <c r="D13" s="7" t="n">
        <f aca="false">IF(1&lt;=$B$3,RANDBETWEEN(MIN($B$7,$B$8),MAX($B$7,$B$8)),"")</f>
        <v>6</v>
      </c>
      <c r="E13" s="7" t="str">
        <f aca="false">IF(1&lt;=$B$3,"=","")</f>
        <v>=</v>
      </c>
      <c r="F13" s="8" t="n">
        <f aca="false">IF(1&lt;=$B$3,B13*D13,"")</f>
        <v>18</v>
      </c>
      <c r="G13" s="7" t="str">
        <f aca="false">IF(1&lt;=$B$3,B13&amp;" x "&amp;D13&amp;" = ?","")</f>
        <v>3 x 6 = ?</v>
      </c>
    </row>
    <row r="14" customFormat="false" ht="15" hidden="false" customHeight="false" outlineLevel="0" collapsed="false">
      <c r="A14" s="7" t="n">
        <f aca="false">IF(2&lt;=$B$3,2,"")</f>
        <v>2</v>
      </c>
      <c r="B14" s="7" t="n">
        <f aca="false">IF(2&lt;=$B$3,IF($B$6="Aralık",RANDBETWEEN(MIN($B$4,$B$5),MAX($B$4,$B$5)),CHOOSE(RANDBETWEEN(1,2),$B$4,$B$5)),"")</f>
        <v>6</v>
      </c>
      <c r="C14" s="7" t="str">
        <f aca="false">IF(2&lt;=$B$3,"x","")</f>
        <v>x</v>
      </c>
      <c r="D14" s="7" t="n">
        <f aca="false">IF(2&lt;=$B$3,RANDBETWEEN(MIN($B$7,$B$8),MAX($B$7,$B$8)),"")</f>
        <v>8</v>
      </c>
      <c r="E14" s="7" t="str">
        <f aca="false">IF(2&lt;=$B$3,"=","")</f>
        <v>=</v>
      </c>
      <c r="F14" s="8" t="n">
        <f aca="false">IF(2&lt;=$B$3,B14*D14,"")</f>
        <v>48</v>
      </c>
      <c r="G14" s="7" t="str">
        <f aca="false">IF(2&lt;=$B$3,B14&amp;" x "&amp;D14&amp;" = ?","")</f>
        <v>6 x 8 = ?</v>
      </c>
    </row>
    <row r="15" customFormat="false" ht="15" hidden="false" customHeight="false" outlineLevel="0" collapsed="false">
      <c r="A15" s="7" t="n">
        <f aca="false">IF(3&lt;=$B$3,3,"")</f>
        <v>3</v>
      </c>
      <c r="B15" s="7" t="n">
        <f aca="false">IF(3&lt;=$B$3,IF($B$6="Aralık",RANDBETWEEN(MIN($B$4,$B$5),MAX($B$4,$B$5)),CHOOSE(RANDBETWEEN(1,2),$B$4,$B$5)),"")</f>
        <v>2</v>
      </c>
      <c r="C15" s="7" t="str">
        <f aca="false">IF(3&lt;=$B$3,"x","")</f>
        <v>x</v>
      </c>
      <c r="D15" s="7" t="n">
        <f aca="false">IF(3&lt;=$B$3,RANDBETWEEN(MIN($B$7,$B$8),MAX($B$7,$B$8)),"")</f>
        <v>5</v>
      </c>
      <c r="E15" s="7" t="str">
        <f aca="false">IF(3&lt;=$B$3,"=","")</f>
        <v>=</v>
      </c>
      <c r="F15" s="8" t="n">
        <f aca="false">IF(3&lt;=$B$3,B15*D15,"")</f>
        <v>10</v>
      </c>
      <c r="G15" s="7" t="str">
        <f aca="false">IF(3&lt;=$B$3,B15&amp;" x "&amp;D15&amp;" = ?","")</f>
        <v>2 x 5 = ?</v>
      </c>
    </row>
    <row r="16" customFormat="false" ht="15" hidden="false" customHeight="false" outlineLevel="0" collapsed="false">
      <c r="A16" s="7" t="n">
        <f aca="false">IF(4&lt;=$B$3,4,"")</f>
        <v>4</v>
      </c>
      <c r="B16" s="7" t="n">
        <f aca="false">IF(4&lt;=$B$3,IF($B$6="Aralık",RANDBETWEEN(MIN($B$4,$B$5),MAX($B$4,$B$5)),CHOOSE(RANDBETWEEN(1,2),$B$4,$B$5)),"")</f>
        <v>2</v>
      </c>
      <c r="C16" s="7" t="str">
        <f aca="false">IF(4&lt;=$B$3,"x","")</f>
        <v>x</v>
      </c>
      <c r="D16" s="7" t="n">
        <f aca="false">IF(4&lt;=$B$3,RANDBETWEEN(MIN($B$7,$B$8),MAX($B$7,$B$8)),"")</f>
        <v>9</v>
      </c>
      <c r="E16" s="7" t="str">
        <f aca="false">IF(4&lt;=$B$3,"=","")</f>
        <v>=</v>
      </c>
      <c r="F16" s="8" t="n">
        <f aca="false">IF(4&lt;=$B$3,B16*D16,"")</f>
        <v>18</v>
      </c>
      <c r="G16" s="7" t="str">
        <f aca="false">IF(4&lt;=$B$3,B16&amp;" x "&amp;D16&amp;" = ?","")</f>
        <v>2 x 9 = ?</v>
      </c>
    </row>
    <row r="17" customFormat="false" ht="15" hidden="false" customHeight="false" outlineLevel="0" collapsed="false">
      <c r="A17" s="7" t="n">
        <f aca="false">IF(5&lt;=$B$3,5,"")</f>
        <v>5</v>
      </c>
      <c r="B17" s="7" t="n">
        <f aca="false">IF(5&lt;=$B$3,IF($B$6="Aralık",RANDBETWEEN(MIN($B$4,$B$5),MAX($B$4,$B$5)),CHOOSE(RANDBETWEEN(1,2),$B$4,$B$5)),"")</f>
        <v>3</v>
      </c>
      <c r="C17" s="7" t="str">
        <f aca="false">IF(5&lt;=$B$3,"x","")</f>
        <v>x</v>
      </c>
      <c r="D17" s="7" t="n">
        <f aca="false">IF(5&lt;=$B$3,RANDBETWEEN(MIN($B$7,$B$8),MAX($B$7,$B$8)),"")</f>
        <v>7</v>
      </c>
      <c r="E17" s="7" t="str">
        <f aca="false">IF(5&lt;=$B$3,"=","")</f>
        <v>=</v>
      </c>
      <c r="F17" s="8" t="n">
        <f aca="false">IF(5&lt;=$B$3,B17*D17,"")</f>
        <v>21</v>
      </c>
      <c r="G17" s="7" t="str">
        <f aca="false">IF(5&lt;=$B$3,B17&amp;" x "&amp;D17&amp;" = ?","")</f>
        <v>3 x 7 = ?</v>
      </c>
    </row>
    <row r="18" customFormat="false" ht="15" hidden="false" customHeight="false" outlineLevel="0" collapsed="false">
      <c r="A18" s="7" t="n">
        <f aca="false">IF(6&lt;=$B$3,6,"")</f>
        <v>6</v>
      </c>
      <c r="B18" s="7" t="n">
        <f aca="false">IF(6&lt;=$B$3,IF($B$6="Aralık",RANDBETWEEN(MIN($B$4,$B$5),MAX($B$4,$B$5)),CHOOSE(RANDBETWEEN(1,2),$B$4,$B$5)),"")</f>
        <v>6</v>
      </c>
      <c r="C18" s="7" t="str">
        <f aca="false">IF(6&lt;=$B$3,"x","")</f>
        <v>x</v>
      </c>
      <c r="D18" s="7" t="n">
        <f aca="false">IF(6&lt;=$B$3,RANDBETWEEN(MIN($B$7,$B$8),MAX($B$7,$B$8)),"")</f>
        <v>9</v>
      </c>
      <c r="E18" s="7" t="str">
        <f aca="false">IF(6&lt;=$B$3,"=","")</f>
        <v>=</v>
      </c>
      <c r="F18" s="8" t="n">
        <f aca="false">IF(6&lt;=$B$3,B18*D18,"")</f>
        <v>54</v>
      </c>
      <c r="G18" s="7" t="str">
        <f aca="false">IF(6&lt;=$B$3,B18&amp;" x "&amp;D18&amp;" = ?","")</f>
        <v>6 x 9 = ?</v>
      </c>
    </row>
    <row r="19" customFormat="false" ht="15" hidden="false" customHeight="false" outlineLevel="0" collapsed="false">
      <c r="A19" s="7" t="n">
        <f aca="false">IF(7&lt;=$B$3,7,"")</f>
        <v>7</v>
      </c>
      <c r="B19" s="7" t="n">
        <f aca="false">IF(7&lt;=$B$3,IF($B$6="Aralık",RANDBETWEEN(MIN($B$4,$B$5),MAX($B$4,$B$5)),CHOOSE(RANDBETWEEN(1,2),$B$4,$B$5)),"")</f>
        <v>4</v>
      </c>
      <c r="C19" s="7" t="str">
        <f aca="false">IF(7&lt;=$B$3,"x","")</f>
        <v>x</v>
      </c>
      <c r="D19" s="7" t="n">
        <f aca="false">IF(7&lt;=$B$3,RANDBETWEEN(MIN($B$7,$B$8),MAX($B$7,$B$8)),"")</f>
        <v>5</v>
      </c>
      <c r="E19" s="7" t="str">
        <f aca="false">IF(7&lt;=$B$3,"=","")</f>
        <v>=</v>
      </c>
      <c r="F19" s="8" t="n">
        <f aca="false">IF(7&lt;=$B$3,B19*D19,"")</f>
        <v>20</v>
      </c>
      <c r="G19" s="7" t="str">
        <f aca="false">IF(7&lt;=$B$3,B19&amp;" x "&amp;D19&amp;" = ?","")</f>
        <v>4 x 5 = ?</v>
      </c>
    </row>
    <row r="20" customFormat="false" ht="15" hidden="false" customHeight="false" outlineLevel="0" collapsed="false">
      <c r="A20" s="7" t="n">
        <f aca="false">IF(8&lt;=$B$3,8,"")</f>
        <v>8</v>
      </c>
      <c r="B20" s="7" t="n">
        <f aca="false">IF(8&lt;=$B$3,IF($B$6="Aralık",RANDBETWEEN(MIN($B$4,$B$5),MAX($B$4,$B$5)),CHOOSE(RANDBETWEEN(1,2),$B$4,$B$5)),"")</f>
        <v>5</v>
      </c>
      <c r="C20" s="7" t="str">
        <f aca="false">IF(8&lt;=$B$3,"x","")</f>
        <v>x</v>
      </c>
      <c r="D20" s="7" t="n">
        <f aca="false">IF(8&lt;=$B$3,RANDBETWEEN(MIN($B$7,$B$8),MAX($B$7,$B$8)),"")</f>
        <v>9</v>
      </c>
      <c r="E20" s="7" t="str">
        <f aca="false">IF(8&lt;=$B$3,"=","")</f>
        <v>=</v>
      </c>
      <c r="F20" s="8" t="n">
        <f aca="false">IF(8&lt;=$B$3,B20*D20,"")</f>
        <v>45</v>
      </c>
      <c r="G20" s="7" t="str">
        <f aca="false">IF(8&lt;=$B$3,B20&amp;" x "&amp;D20&amp;" = ?","")</f>
        <v>5 x 9 = ?</v>
      </c>
    </row>
    <row r="21" customFormat="false" ht="15" hidden="false" customHeight="false" outlineLevel="0" collapsed="false">
      <c r="A21" s="7" t="n">
        <f aca="false">IF(9&lt;=$B$3,9,"")</f>
        <v>9</v>
      </c>
      <c r="B21" s="7" t="n">
        <f aca="false">IF(9&lt;=$B$3,IF($B$6="Aralık",RANDBETWEEN(MIN($B$4,$B$5),MAX($B$4,$B$5)),CHOOSE(RANDBETWEEN(1,2),$B$4,$B$5)),"")</f>
        <v>2</v>
      </c>
      <c r="C21" s="7" t="str">
        <f aca="false">IF(9&lt;=$B$3,"x","")</f>
        <v>x</v>
      </c>
      <c r="D21" s="7" t="n">
        <f aca="false">IF(9&lt;=$B$3,RANDBETWEEN(MIN($B$7,$B$8),MAX($B$7,$B$8)),"")</f>
        <v>2</v>
      </c>
      <c r="E21" s="7" t="str">
        <f aca="false">IF(9&lt;=$B$3,"=","")</f>
        <v>=</v>
      </c>
      <c r="F21" s="8" t="n">
        <f aca="false">IF(9&lt;=$B$3,B21*D21,"")</f>
        <v>4</v>
      </c>
      <c r="G21" s="7" t="str">
        <f aca="false">IF(9&lt;=$B$3,B21&amp;" x "&amp;D21&amp;" = ?","")</f>
        <v>2 x 2 = ?</v>
      </c>
    </row>
    <row r="22" customFormat="false" ht="15" hidden="false" customHeight="false" outlineLevel="0" collapsed="false">
      <c r="A22" s="7" t="n">
        <f aca="false">IF(10&lt;=$B$3,10,"")</f>
        <v>10</v>
      </c>
      <c r="B22" s="7" t="n">
        <f aca="false">IF(10&lt;=$B$3,IF($B$6="Aralık",RANDBETWEEN(MIN($B$4,$B$5),MAX($B$4,$B$5)),CHOOSE(RANDBETWEEN(1,2),$B$4,$B$5)),"")</f>
        <v>3</v>
      </c>
      <c r="C22" s="7" t="str">
        <f aca="false">IF(10&lt;=$B$3,"x","")</f>
        <v>x</v>
      </c>
      <c r="D22" s="7" t="n">
        <f aca="false">IF(10&lt;=$B$3,RANDBETWEEN(MIN($B$7,$B$8),MAX($B$7,$B$8)),"")</f>
        <v>4</v>
      </c>
      <c r="E22" s="7" t="str">
        <f aca="false">IF(10&lt;=$B$3,"=","")</f>
        <v>=</v>
      </c>
      <c r="F22" s="8" t="n">
        <f aca="false">IF(10&lt;=$B$3,B22*D22,"")</f>
        <v>12</v>
      </c>
      <c r="G22" s="7" t="str">
        <f aca="false">IF(10&lt;=$B$3,B22&amp;" x "&amp;D22&amp;" = ?","")</f>
        <v>3 x 4 = ?</v>
      </c>
    </row>
    <row r="23" customFormat="false" ht="15" hidden="false" customHeight="false" outlineLevel="0" collapsed="false">
      <c r="A23" s="7" t="n">
        <f aca="false">IF(11&lt;=$B$3,11,"")</f>
        <v>11</v>
      </c>
      <c r="B23" s="7" t="n">
        <f aca="false">IF(11&lt;=$B$3,IF($B$6="Aralık",RANDBETWEEN(MIN($B$4,$B$5),MAX($B$4,$B$5)),CHOOSE(RANDBETWEEN(1,2),$B$4,$B$5)),"")</f>
        <v>2</v>
      </c>
      <c r="C23" s="7" t="str">
        <f aca="false">IF(11&lt;=$B$3,"x","")</f>
        <v>x</v>
      </c>
      <c r="D23" s="7" t="n">
        <f aca="false">IF(11&lt;=$B$3,RANDBETWEEN(MIN($B$7,$B$8),MAX($B$7,$B$8)),"")</f>
        <v>10</v>
      </c>
      <c r="E23" s="7" t="str">
        <f aca="false">IF(11&lt;=$B$3,"=","")</f>
        <v>=</v>
      </c>
      <c r="F23" s="8" t="n">
        <f aca="false">IF(11&lt;=$B$3,B23*D23,"")</f>
        <v>20</v>
      </c>
      <c r="G23" s="7" t="str">
        <f aca="false">IF(11&lt;=$B$3,B23&amp;" x "&amp;D23&amp;" = ?","")</f>
        <v>2 x 10 = ?</v>
      </c>
    </row>
    <row r="24" customFormat="false" ht="15" hidden="false" customHeight="false" outlineLevel="0" collapsed="false">
      <c r="A24" s="7" t="n">
        <f aca="false">IF(12&lt;=$B$3,12,"")</f>
        <v>12</v>
      </c>
      <c r="B24" s="7" t="n">
        <f aca="false">IF(12&lt;=$B$3,IF($B$6="Aralık",RANDBETWEEN(MIN($B$4,$B$5),MAX($B$4,$B$5)),CHOOSE(RANDBETWEEN(1,2),$B$4,$B$5)),"")</f>
        <v>5</v>
      </c>
      <c r="C24" s="7" t="str">
        <f aca="false">IF(12&lt;=$B$3,"x","")</f>
        <v>x</v>
      </c>
      <c r="D24" s="7" t="n">
        <f aca="false">IF(12&lt;=$B$3,RANDBETWEEN(MIN($B$7,$B$8),MAX($B$7,$B$8)),"")</f>
        <v>6</v>
      </c>
      <c r="E24" s="7" t="str">
        <f aca="false">IF(12&lt;=$B$3,"=","")</f>
        <v>=</v>
      </c>
      <c r="F24" s="8" t="n">
        <f aca="false">IF(12&lt;=$B$3,B24*D24,"")</f>
        <v>30</v>
      </c>
      <c r="G24" s="7" t="str">
        <f aca="false">IF(12&lt;=$B$3,B24&amp;" x "&amp;D24&amp;" = ?","")</f>
        <v>5 x 6 = ?</v>
      </c>
    </row>
    <row r="25" customFormat="false" ht="15" hidden="false" customHeight="false" outlineLevel="0" collapsed="false">
      <c r="A25" s="7" t="n">
        <f aca="false">IF(13&lt;=$B$3,13,"")</f>
        <v>13</v>
      </c>
      <c r="B25" s="7" t="n">
        <f aca="false">IF(13&lt;=$B$3,IF($B$6="Aralık",RANDBETWEEN(MIN($B$4,$B$5),MAX($B$4,$B$5)),CHOOSE(RANDBETWEEN(1,2),$B$4,$B$5)),"")</f>
        <v>3</v>
      </c>
      <c r="C25" s="7" t="str">
        <f aca="false">IF(13&lt;=$B$3,"x","")</f>
        <v>x</v>
      </c>
      <c r="D25" s="7" t="n">
        <f aca="false">IF(13&lt;=$B$3,RANDBETWEEN(MIN($B$7,$B$8),MAX($B$7,$B$8)),"")</f>
        <v>4</v>
      </c>
      <c r="E25" s="7" t="str">
        <f aca="false">IF(13&lt;=$B$3,"=","")</f>
        <v>=</v>
      </c>
      <c r="F25" s="8" t="n">
        <f aca="false">IF(13&lt;=$B$3,B25*D25,"")</f>
        <v>12</v>
      </c>
      <c r="G25" s="7" t="str">
        <f aca="false">IF(13&lt;=$B$3,B25&amp;" x "&amp;D25&amp;" = ?","")</f>
        <v>3 x 4 = ?</v>
      </c>
    </row>
    <row r="26" customFormat="false" ht="15" hidden="false" customHeight="false" outlineLevel="0" collapsed="false">
      <c r="A26" s="7" t="n">
        <f aca="false">IF(14&lt;=$B$3,14,"")</f>
        <v>14</v>
      </c>
      <c r="B26" s="7" t="n">
        <f aca="false">IF(14&lt;=$B$3,IF($B$6="Aralık",RANDBETWEEN(MIN($B$4,$B$5),MAX($B$4,$B$5)),CHOOSE(RANDBETWEEN(1,2),$B$4,$B$5)),"")</f>
        <v>4</v>
      </c>
      <c r="C26" s="7" t="str">
        <f aca="false">IF(14&lt;=$B$3,"x","")</f>
        <v>x</v>
      </c>
      <c r="D26" s="7" t="n">
        <f aca="false">IF(14&lt;=$B$3,RANDBETWEEN(MIN($B$7,$B$8),MAX($B$7,$B$8)),"")</f>
        <v>8</v>
      </c>
      <c r="E26" s="7" t="str">
        <f aca="false">IF(14&lt;=$B$3,"=","")</f>
        <v>=</v>
      </c>
      <c r="F26" s="8" t="n">
        <f aca="false">IF(14&lt;=$B$3,B26*D26,"")</f>
        <v>32</v>
      </c>
      <c r="G26" s="7" t="str">
        <f aca="false">IF(14&lt;=$B$3,B26&amp;" x "&amp;D26&amp;" = ?","")</f>
        <v>4 x 8 = ?</v>
      </c>
    </row>
    <row r="27" customFormat="false" ht="15" hidden="false" customHeight="false" outlineLevel="0" collapsed="false">
      <c r="A27" s="7" t="n">
        <f aca="false">IF(15&lt;=$B$3,15,"")</f>
        <v>15</v>
      </c>
      <c r="B27" s="7" t="n">
        <f aca="false">IF(15&lt;=$B$3,IF($B$6="Aralık",RANDBETWEEN(MIN($B$4,$B$5),MAX($B$4,$B$5)),CHOOSE(RANDBETWEEN(1,2),$B$4,$B$5)),"")</f>
        <v>4</v>
      </c>
      <c r="C27" s="7" t="str">
        <f aca="false">IF(15&lt;=$B$3,"x","")</f>
        <v>x</v>
      </c>
      <c r="D27" s="7" t="n">
        <f aca="false">IF(15&lt;=$B$3,RANDBETWEEN(MIN($B$7,$B$8),MAX($B$7,$B$8)),"")</f>
        <v>9</v>
      </c>
      <c r="E27" s="7" t="str">
        <f aca="false">IF(15&lt;=$B$3,"=","")</f>
        <v>=</v>
      </c>
      <c r="F27" s="8" t="n">
        <f aca="false">IF(15&lt;=$B$3,B27*D27,"")</f>
        <v>36</v>
      </c>
      <c r="G27" s="7" t="str">
        <f aca="false">IF(15&lt;=$B$3,B27&amp;" x "&amp;D27&amp;" = ?","")</f>
        <v>4 x 9 = ?</v>
      </c>
    </row>
    <row r="28" customFormat="false" ht="15" hidden="false" customHeight="false" outlineLevel="0" collapsed="false">
      <c r="A28" s="7" t="n">
        <f aca="false">IF(16&lt;=$B$3,16,"")</f>
        <v>16</v>
      </c>
      <c r="B28" s="7" t="n">
        <f aca="false">IF(16&lt;=$B$3,IF($B$6="Aralık",RANDBETWEEN(MIN($B$4,$B$5),MAX($B$4,$B$5)),CHOOSE(RANDBETWEEN(1,2),$B$4,$B$5)),"")</f>
        <v>4</v>
      </c>
      <c r="C28" s="7" t="str">
        <f aca="false">IF(16&lt;=$B$3,"x","")</f>
        <v>x</v>
      </c>
      <c r="D28" s="7" t="n">
        <f aca="false">IF(16&lt;=$B$3,RANDBETWEEN(MIN($B$7,$B$8),MAX($B$7,$B$8)),"")</f>
        <v>7</v>
      </c>
      <c r="E28" s="7" t="str">
        <f aca="false">IF(16&lt;=$B$3,"=","")</f>
        <v>=</v>
      </c>
      <c r="F28" s="8" t="n">
        <f aca="false">IF(16&lt;=$B$3,B28*D28,"")</f>
        <v>28</v>
      </c>
      <c r="G28" s="7" t="str">
        <f aca="false">IF(16&lt;=$B$3,B28&amp;" x "&amp;D28&amp;" = ?","")</f>
        <v>4 x 7 = ?</v>
      </c>
    </row>
    <row r="29" customFormat="false" ht="15" hidden="false" customHeight="false" outlineLevel="0" collapsed="false">
      <c r="A29" s="7" t="n">
        <f aca="false">IF(17&lt;=$B$3,17,"")</f>
        <v>17</v>
      </c>
      <c r="B29" s="7" t="n">
        <f aca="false">IF(17&lt;=$B$3,IF($B$6="Aralık",RANDBETWEEN(MIN($B$4,$B$5),MAX($B$4,$B$5)),CHOOSE(RANDBETWEEN(1,2),$B$4,$B$5)),"")</f>
        <v>5</v>
      </c>
      <c r="C29" s="7" t="str">
        <f aca="false">IF(17&lt;=$B$3,"x","")</f>
        <v>x</v>
      </c>
      <c r="D29" s="7" t="n">
        <f aca="false">IF(17&lt;=$B$3,RANDBETWEEN(MIN($B$7,$B$8),MAX($B$7,$B$8)),"")</f>
        <v>9</v>
      </c>
      <c r="E29" s="7" t="str">
        <f aca="false">IF(17&lt;=$B$3,"=","")</f>
        <v>=</v>
      </c>
      <c r="F29" s="8" t="n">
        <f aca="false">IF(17&lt;=$B$3,B29*D29,"")</f>
        <v>45</v>
      </c>
      <c r="G29" s="7" t="str">
        <f aca="false">IF(17&lt;=$B$3,B29&amp;" x "&amp;D29&amp;" = ?","")</f>
        <v>5 x 9 = ?</v>
      </c>
    </row>
    <row r="30" customFormat="false" ht="15" hidden="false" customHeight="false" outlineLevel="0" collapsed="false">
      <c r="A30" s="7" t="n">
        <f aca="false">IF(18&lt;=$B$3,18,"")</f>
        <v>18</v>
      </c>
      <c r="B30" s="7" t="n">
        <f aca="false">IF(18&lt;=$B$3,IF($B$6="Aralık",RANDBETWEEN(MIN($B$4,$B$5),MAX($B$4,$B$5)),CHOOSE(RANDBETWEEN(1,2),$B$4,$B$5)),"")</f>
        <v>4</v>
      </c>
      <c r="C30" s="7" t="str">
        <f aca="false">IF(18&lt;=$B$3,"x","")</f>
        <v>x</v>
      </c>
      <c r="D30" s="7" t="n">
        <f aca="false">IF(18&lt;=$B$3,RANDBETWEEN(MIN($B$7,$B$8),MAX($B$7,$B$8)),"")</f>
        <v>8</v>
      </c>
      <c r="E30" s="7" t="str">
        <f aca="false">IF(18&lt;=$B$3,"=","")</f>
        <v>=</v>
      </c>
      <c r="F30" s="8" t="n">
        <f aca="false">IF(18&lt;=$B$3,B30*D30,"")</f>
        <v>32</v>
      </c>
      <c r="G30" s="7" t="str">
        <f aca="false">IF(18&lt;=$B$3,B30&amp;" x "&amp;D30&amp;" = ?","")</f>
        <v>4 x 8 = ?</v>
      </c>
    </row>
    <row r="31" customFormat="false" ht="15" hidden="false" customHeight="false" outlineLevel="0" collapsed="false">
      <c r="A31" s="7" t="n">
        <f aca="false">IF(19&lt;=$B$3,19,"")</f>
        <v>19</v>
      </c>
      <c r="B31" s="7" t="n">
        <f aca="false">IF(19&lt;=$B$3,IF($B$6="Aralık",RANDBETWEEN(MIN($B$4,$B$5),MAX($B$4,$B$5)),CHOOSE(RANDBETWEEN(1,2),$B$4,$B$5)),"")</f>
        <v>6</v>
      </c>
      <c r="C31" s="7" t="str">
        <f aca="false">IF(19&lt;=$B$3,"x","")</f>
        <v>x</v>
      </c>
      <c r="D31" s="7" t="n">
        <f aca="false">IF(19&lt;=$B$3,RANDBETWEEN(MIN($B$7,$B$8),MAX($B$7,$B$8)),"")</f>
        <v>6</v>
      </c>
      <c r="E31" s="7" t="str">
        <f aca="false">IF(19&lt;=$B$3,"=","")</f>
        <v>=</v>
      </c>
      <c r="F31" s="8" t="n">
        <f aca="false">IF(19&lt;=$B$3,B31*D31,"")</f>
        <v>36</v>
      </c>
      <c r="G31" s="7" t="str">
        <f aca="false">IF(19&lt;=$B$3,B31&amp;" x "&amp;D31&amp;" = ?","")</f>
        <v>6 x 6 = ?</v>
      </c>
    </row>
    <row r="32" customFormat="false" ht="15" hidden="false" customHeight="false" outlineLevel="0" collapsed="false">
      <c r="A32" s="7" t="n">
        <f aca="false">IF(20&lt;=$B$3,20,"")</f>
        <v>20</v>
      </c>
      <c r="B32" s="7" t="n">
        <f aca="false">IF(20&lt;=$B$3,IF($B$6="Aralık",RANDBETWEEN(MIN($B$4,$B$5),MAX($B$4,$B$5)),CHOOSE(RANDBETWEEN(1,2),$B$4,$B$5)),"")</f>
        <v>3</v>
      </c>
      <c r="C32" s="7" t="str">
        <f aca="false">IF(20&lt;=$B$3,"x","")</f>
        <v>x</v>
      </c>
      <c r="D32" s="7" t="n">
        <f aca="false">IF(20&lt;=$B$3,RANDBETWEEN(MIN($B$7,$B$8),MAX($B$7,$B$8)),"")</f>
        <v>1</v>
      </c>
      <c r="E32" s="7" t="str">
        <f aca="false">IF(20&lt;=$B$3,"=","")</f>
        <v>=</v>
      </c>
      <c r="F32" s="8" t="n">
        <f aca="false">IF(20&lt;=$B$3,B32*D32,"")</f>
        <v>3</v>
      </c>
      <c r="G32" s="7" t="str">
        <f aca="false">IF(20&lt;=$B$3,B32&amp;" x "&amp;D32&amp;" = ?","")</f>
        <v>3 x 1 = ?</v>
      </c>
    </row>
    <row r="33" customFormat="false" ht="15" hidden="false" customHeight="false" outlineLevel="0" collapsed="false">
      <c r="A33" s="7" t="str">
        <f aca="false">IF(21&lt;=$B$3,21,"")</f>
        <v/>
      </c>
      <c r="B33" s="7" t="str">
        <f aca="false">IF(21&lt;=$B$3,IF($B$6="Aralık",RANDBETWEEN(MIN($B$4,$B$5),MAX($B$4,$B$5)),CHOOSE(RANDBETWEEN(1,2),$B$4,$B$5)),"")</f>
        <v/>
      </c>
      <c r="C33" s="7" t="str">
        <f aca="false">IF(21&lt;=$B$3,"x","")</f>
        <v/>
      </c>
      <c r="D33" s="7" t="str">
        <f aca="false">IF(21&lt;=$B$3,RANDBETWEEN(MIN($B$7,$B$8),MAX($B$7,$B$8)),"")</f>
        <v/>
      </c>
      <c r="E33" s="7" t="str">
        <f aca="false">IF(21&lt;=$B$3,"=","")</f>
        <v/>
      </c>
      <c r="F33" s="8" t="str">
        <f aca="false">IF(21&lt;=$B$3,B33*D33,"")</f>
        <v/>
      </c>
      <c r="G33" s="7" t="str">
        <f aca="false">IF(21&lt;=$B$3,B33&amp;" x "&amp;D33&amp;" = ?","")</f>
        <v/>
      </c>
    </row>
    <row r="34" customFormat="false" ht="15" hidden="false" customHeight="false" outlineLevel="0" collapsed="false">
      <c r="A34" s="7" t="str">
        <f aca="false">IF(22&lt;=$B$3,22,"")</f>
        <v/>
      </c>
      <c r="B34" s="7" t="str">
        <f aca="false">IF(22&lt;=$B$3,IF($B$6="Aralık",RANDBETWEEN(MIN($B$4,$B$5),MAX($B$4,$B$5)),CHOOSE(RANDBETWEEN(1,2),$B$4,$B$5)),"")</f>
        <v/>
      </c>
      <c r="C34" s="7" t="str">
        <f aca="false">IF(22&lt;=$B$3,"x","")</f>
        <v/>
      </c>
      <c r="D34" s="7" t="str">
        <f aca="false">IF(22&lt;=$B$3,RANDBETWEEN(MIN($B$7,$B$8),MAX($B$7,$B$8)),"")</f>
        <v/>
      </c>
      <c r="E34" s="7" t="str">
        <f aca="false">IF(22&lt;=$B$3,"=","")</f>
        <v/>
      </c>
      <c r="F34" s="8" t="str">
        <f aca="false">IF(22&lt;=$B$3,B34*D34,"")</f>
        <v/>
      </c>
      <c r="G34" s="7" t="str">
        <f aca="false">IF(22&lt;=$B$3,B34&amp;" x "&amp;D34&amp;" = ?","")</f>
        <v/>
      </c>
    </row>
    <row r="35" customFormat="false" ht="15" hidden="false" customHeight="false" outlineLevel="0" collapsed="false">
      <c r="A35" s="7" t="str">
        <f aca="false">IF(23&lt;=$B$3,23,"")</f>
        <v/>
      </c>
      <c r="B35" s="7" t="str">
        <f aca="false">IF(23&lt;=$B$3,IF($B$6="Aralık",RANDBETWEEN(MIN($B$4,$B$5),MAX($B$4,$B$5)),CHOOSE(RANDBETWEEN(1,2),$B$4,$B$5)),"")</f>
        <v/>
      </c>
      <c r="C35" s="7" t="str">
        <f aca="false">IF(23&lt;=$B$3,"x","")</f>
        <v/>
      </c>
      <c r="D35" s="7" t="str">
        <f aca="false">IF(23&lt;=$B$3,RANDBETWEEN(MIN($B$7,$B$8),MAX($B$7,$B$8)),"")</f>
        <v/>
      </c>
      <c r="E35" s="7" t="str">
        <f aca="false">IF(23&lt;=$B$3,"=","")</f>
        <v/>
      </c>
      <c r="F35" s="8" t="str">
        <f aca="false">IF(23&lt;=$B$3,B35*D35,"")</f>
        <v/>
      </c>
      <c r="G35" s="7" t="str">
        <f aca="false">IF(23&lt;=$B$3,B35&amp;" x "&amp;D35&amp;" = ?","")</f>
        <v/>
      </c>
    </row>
    <row r="36" customFormat="false" ht="15" hidden="false" customHeight="false" outlineLevel="0" collapsed="false">
      <c r="A36" s="7" t="str">
        <f aca="false">IF(24&lt;=$B$3,24,"")</f>
        <v/>
      </c>
      <c r="B36" s="7" t="str">
        <f aca="false">IF(24&lt;=$B$3,IF($B$6="Aralık",RANDBETWEEN(MIN($B$4,$B$5),MAX($B$4,$B$5)),CHOOSE(RANDBETWEEN(1,2),$B$4,$B$5)),"")</f>
        <v/>
      </c>
      <c r="C36" s="7" t="str">
        <f aca="false">IF(24&lt;=$B$3,"x","")</f>
        <v/>
      </c>
      <c r="D36" s="7" t="str">
        <f aca="false">IF(24&lt;=$B$3,RANDBETWEEN(MIN($B$7,$B$8),MAX($B$7,$B$8)),"")</f>
        <v/>
      </c>
      <c r="E36" s="7" t="str">
        <f aca="false">IF(24&lt;=$B$3,"=","")</f>
        <v/>
      </c>
      <c r="F36" s="8" t="str">
        <f aca="false">IF(24&lt;=$B$3,B36*D36,"")</f>
        <v/>
      </c>
      <c r="G36" s="7" t="str">
        <f aca="false">IF(24&lt;=$B$3,B36&amp;" x "&amp;D36&amp;" = ?","")</f>
        <v/>
      </c>
    </row>
    <row r="37" customFormat="false" ht="15" hidden="false" customHeight="false" outlineLevel="0" collapsed="false">
      <c r="A37" s="7" t="str">
        <f aca="false">IF(25&lt;=$B$3,25,"")</f>
        <v/>
      </c>
      <c r="B37" s="7" t="str">
        <f aca="false">IF(25&lt;=$B$3,IF($B$6="Aralık",RANDBETWEEN(MIN($B$4,$B$5),MAX($B$4,$B$5)),CHOOSE(RANDBETWEEN(1,2),$B$4,$B$5)),"")</f>
        <v/>
      </c>
      <c r="C37" s="7" t="str">
        <f aca="false">IF(25&lt;=$B$3,"x","")</f>
        <v/>
      </c>
      <c r="D37" s="7" t="str">
        <f aca="false">IF(25&lt;=$B$3,RANDBETWEEN(MIN($B$7,$B$8),MAX($B$7,$B$8)),"")</f>
        <v/>
      </c>
      <c r="E37" s="7" t="str">
        <f aca="false">IF(25&lt;=$B$3,"=","")</f>
        <v/>
      </c>
      <c r="F37" s="8" t="str">
        <f aca="false">IF(25&lt;=$B$3,B37*D37,"")</f>
        <v/>
      </c>
      <c r="G37" s="7" t="str">
        <f aca="false">IF(25&lt;=$B$3,B37&amp;" x "&amp;D37&amp;" = ?","")</f>
        <v/>
      </c>
    </row>
    <row r="38" customFormat="false" ht="15" hidden="false" customHeight="false" outlineLevel="0" collapsed="false">
      <c r="A38" s="7" t="str">
        <f aca="false">IF(26&lt;=$B$3,26,"")</f>
        <v/>
      </c>
      <c r="B38" s="7" t="str">
        <f aca="false">IF(26&lt;=$B$3,IF($B$6="Aralık",RANDBETWEEN(MIN($B$4,$B$5),MAX($B$4,$B$5)),CHOOSE(RANDBETWEEN(1,2),$B$4,$B$5)),"")</f>
        <v/>
      </c>
      <c r="C38" s="7" t="str">
        <f aca="false">IF(26&lt;=$B$3,"x","")</f>
        <v/>
      </c>
      <c r="D38" s="7" t="str">
        <f aca="false">IF(26&lt;=$B$3,RANDBETWEEN(MIN($B$7,$B$8),MAX($B$7,$B$8)),"")</f>
        <v/>
      </c>
      <c r="E38" s="7" t="str">
        <f aca="false">IF(26&lt;=$B$3,"=","")</f>
        <v/>
      </c>
      <c r="F38" s="8" t="str">
        <f aca="false">IF(26&lt;=$B$3,B38*D38,"")</f>
        <v/>
      </c>
      <c r="G38" s="7" t="str">
        <f aca="false">IF(26&lt;=$B$3,B38&amp;" x "&amp;D38&amp;" = ?","")</f>
        <v/>
      </c>
    </row>
    <row r="39" customFormat="false" ht="15" hidden="false" customHeight="false" outlineLevel="0" collapsed="false">
      <c r="A39" s="7" t="str">
        <f aca="false">IF(27&lt;=$B$3,27,"")</f>
        <v/>
      </c>
      <c r="B39" s="7" t="str">
        <f aca="false">IF(27&lt;=$B$3,IF($B$6="Aralık",RANDBETWEEN(MIN($B$4,$B$5),MAX($B$4,$B$5)),CHOOSE(RANDBETWEEN(1,2),$B$4,$B$5)),"")</f>
        <v/>
      </c>
      <c r="C39" s="7" t="str">
        <f aca="false">IF(27&lt;=$B$3,"x","")</f>
        <v/>
      </c>
      <c r="D39" s="7" t="str">
        <f aca="false">IF(27&lt;=$B$3,RANDBETWEEN(MIN($B$7,$B$8),MAX($B$7,$B$8)),"")</f>
        <v/>
      </c>
      <c r="E39" s="7" t="str">
        <f aca="false">IF(27&lt;=$B$3,"=","")</f>
        <v/>
      </c>
      <c r="F39" s="8" t="str">
        <f aca="false">IF(27&lt;=$B$3,B39*D39,"")</f>
        <v/>
      </c>
      <c r="G39" s="7" t="str">
        <f aca="false">IF(27&lt;=$B$3,B39&amp;" x "&amp;D39&amp;" = ?","")</f>
        <v/>
      </c>
    </row>
    <row r="40" customFormat="false" ht="15" hidden="false" customHeight="false" outlineLevel="0" collapsed="false">
      <c r="A40" s="7" t="str">
        <f aca="false">IF(28&lt;=$B$3,28,"")</f>
        <v/>
      </c>
      <c r="B40" s="7" t="str">
        <f aca="false">IF(28&lt;=$B$3,IF($B$6="Aralık",RANDBETWEEN(MIN($B$4,$B$5),MAX($B$4,$B$5)),CHOOSE(RANDBETWEEN(1,2),$B$4,$B$5)),"")</f>
        <v/>
      </c>
      <c r="C40" s="7" t="str">
        <f aca="false">IF(28&lt;=$B$3,"x","")</f>
        <v/>
      </c>
      <c r="D40" s="7" t="str">
        <f aca="false">IF(28&lt;=$B$3,RANDBETWEEN(MIN($B$7,$B$8),MAX($B$7,$B$8)),"")</f>
        <v/>
      </c>
      <c r="E40" s="7" t="str">
        <f aca="false">IF(28&lt;=$B$3,"=","")</f>
        <v/>
      </c>
      <c r="F40" s="8" t="str">
        <f aca="false">IF(28&lt;=$B$3,B40*D40,"")</f>
        <v/>
      </c>
      <c r="G40" s="7" t="str">
        <f aca="false">IF(28&lt;=$B$3,B40&amp;" x "&amp;D40&amp;" = ?","")</f>
        <v/>
      </c>
    </row>
    <row r="41" customFormat="false" ht="15" hidden="false" customHeight="false" outlineLevel="0" collapsed="false">
      <c r="A41" s="7" t="str">
        <f aca="false">IF(29&lt;=$B$3,29,"")</f>
        <v/>
      </c>
      <c r="B41" s="7" t="str">
        <f aca="false">IF(29&lt;=$B$3,IF($B$6="Aralık",RANDBETWEEN(MIN($B$4,$B$5),MAX($B$4,$B$5)),CHOOSE(RANDBETWEEN(1,2),$B$4,$B$5)),"")</f>
        <v/>
      </c>
      <c r="C41" s="7" t="str">
        <f aca="false">IF(29&lt;=$B$3,"x","")</f>
        <v/>
      </c>
      <c r="D41" s="7" t="str">
        <f aca="false">IF(29&lt;=$B$3,RANDBETWEEN(MIN($B$7,$B$8),MAX($B$7,$B$8)),"")</f>
        <v/>
      </c>
      <c r="E41" s="7" t="str">
        <f aca="false">IF(29&lt;=$B$3,"=","")</f>
        <v/>
      </c>
      <c r="F41" s="8" t="str">
        <f aca="false">IF(29&lt;=$B$3,B41*D41,"")</f>
        <v/>
      </c>
      <c r="G41" s="7" t="str">
        <f aca="false">IF(29&lt;=$B$3,B41&amp;" x "&amp;D41&amp;" = ?","")</f>
        <v/>
      </c>
    </row>
    <row r="42" customFormat="false" ht="15" hidden="false" customHeight="false" outlineLevel="0" collapsed="false">
      <c r="A42" s="7" t="str">
        <f aca="false">IF(30&lt;=$B$3,30,"")</f>
        <v/>
      </c>
      <c r="B42" s="7" t="str">
        <f aca="false">IF(30&lt;=$B$3,IF($B$6="Aralık",RANDBETWEEN(MIN($B$4,$B$5),MAX($B$4,$B$5)),CHOOSE(RANDBETWEEN(1,2),$B$4,$B$5)),"")</f>
        <v/>
      </c>
      <c r="C42" s="7" t="str">
        <f aca="false">IF(30&lt;=$B$3,"x","")</f>
        <v/>
      </c>
      <c r="D42" s="7" t="str">
        <f aca="false">IF(30&lt;=$B$3,RANDBETWEEN(MIN($B$7,$B$8),MAX($B$7,$B$8)),"")</f>
        <v/>
      </c>
      <c r="E42" s="7" t="str">
        <f aca="false">IF(30&lt;=$B$3,"=","")</f>
        <v/>
      </c>
      <c r="F42" s="8" t="str">
        <f aca="false">IF(30&lt;=$B$3,B42*D42,"")</f>
        <v/>
      </c>
      <c r="G42" s="7" t="str">
        <f aca="false">IF(30&lt;=$B$3,B42&amp;" x "&amp;D42&amp;" = ?","")</f>
        <v/>
      </c>
    </row>
    <row r="43" customFormat="false" ht="15" hidden="false" customHeight="false" outlineLevel="0" collapsed="false">
      <c r="A43" s="7" t="str">
        <f aca="false">IF(31&lt;=$B$3,31,"")</f>
        <v/>
      </c>
      <c r="B43" s="7" t="str">
        <f aca="false">IF(31&lt;=$B$3,IF($B$6="Aralık",RANDBETWEEN(MIN($B$4,$B$5),MAX($B$4,$B$5)),CHOOSE(RANDBETWEEN(1,2),$B$4,$B$5)),"")</f>
        <v/>
      </c>
      <c r="C43" s="7" t="str">
        <f aca="false">IF(31&lt;=$B$3,"x","")</f>
        <v/>
      </c>
      <c r="D43" s="7" t="str">
        <f aca="false">IF(31&lt;=$B$3,RANDBETWEEN(MIN($B$7,$B$8),MAX($B$7,$B$8)),"")</f>
        <v/>
      </c>
      <c r="E43" s="7" t="str">
        <f aca="false">IF(31&lt;=$B$3,"=","")</f>
        <v/>
      </c>
      <c r="F43" s="8" t="str">
        <f aca="false">IF(31&lt;=$B$3,B43*D43,"")</f>
        <v/>
      </c>
      <c r="G43" s="7" t="str">
        <f aca="false">IF(31&lt;=$B$3,B43&amp;" x "&amp;D43&amp;" = ?","")</f>
        <v/>
      </c>
    </row>
    <row r="44" customFormat="false" ht="15" hidden="false" customHeight="false" outlineLevel="0" collapsed="false">
      <c r="A44" s="7" t="str">
        <f aca="false">IF(32&lt;=$B$3,32,"")</f>
        <v/>
      </c>
      <c r="B44" s="7" t="str">
        <f aca="false">IF(32&lt;=$B$3,IF($B$6="Aralık",RANDBETWEEN(MIN($B$4,$B$5),MAX($B$4,$B$5)),CHOOSE(RANDBETWEEN(1,2),$B$4,$B$5)),"")</f>
        <v/>
      </c>
      <c r="C44" s="7" t="str">
        <f aca="false">IF(32&lt;=$B$3,"x","")</f>
        <v/>
      </c>
      <c r="D44" s="7" t="str">
        <f aca="false">IF(32&lt;=$B$3,RANDBETWEEN(MIN($B$7,$B$8),MAX($B$7,$B$8)),"")</f>
        <v/>
      </c>
      <c r="E44" s="7" t="str">
        <f aca="false">IF(32&lt;=$B$3,"=","")</f>
        <v/>
      </c>
      <c r="F44" s="8" t="str">
        <f aca="false">IF(32&lt;=$B$3,B44*D44,"")</f>
        <v/>
      </c>
      <c r="G44" s="7" t="str">
        <f aca="false">IF(32&lt;=$B$3,B44&amp;" x "&amp;D44&amp;" = ?","")</f>
        <v/>
      </c>
    </row>
    <row r="45" customFormat="false" ht="15" hidden="false" customHeight="false" outlineLevel="0" collapsed="false">
      <c r="A45" s="7" t="str">
        <f aca="false">IF(33&lt;=$B$3,33,"")</f>
        <v/>
      </c>
      <c r="B45" s="7" t="str">
        <f aca="false">IF(33&lt;=$B$3,IF($B$6="Aralık",RANDBETWEEN(MIN($B$4,$B$5),MAX($B$4,$B$5)),CHOOSE(RANDBETWEEN(1,2),$B$4,$B$5)),"")</f>
        <v/>
      </c>
      <c r="C45" s="7" t="str">
        <f aca="false">IF(33&lt;=$B$3,"x","")</f>
        <v/>
      </c>
      <c r="D45" s="7" t="str">
        <f aca="false">IF(33&lt;=$B$3,RANDBETWEEN(MIN($B$7,$B$8),MAX($B$7,$B$8)),"")</f>
        <v/>
      </c>
      <c r="E45" s="7" t="str">
        <f aca="false">IF(33&lt;=$B$3,"=","")</f>
        <v/>
      </c>
      <c r="F45" s="8" t="str">
        <f aca="false">IF(33&lt;=$B$3,B45*D45,"")</f>
        <v/>
      </c>
      <c r="G45" s="7" t="str">
        <f aca="false">IF(33&lt;=$B$3,B45&amp;" x "&amp;D45&amp;" = ?","")</f>
        <v/>
      </c>
    </row>
    <row r="46" customFormat="false" ht="15" hidden="false" customHeight="false" outlineLevel="0" collapsed="false">
      <c r="A46" s="7" t="str">
        <f aca="false">IF(34&lt;=$B$3,34,"")</f>
        <v/>
      </c>
      <c r="B46" s="7" t="str">
        <f aca="false">IF(34&lt;=$B$3,IF($B$6="Aralık",RANDBETWEEN(MIN($B$4,$B$5),MAX($B$4,$B$5)),CHOOSE(RANDBETWEEN(1,2),$B$4,$B$5)),"")</f>
        <v/>
      </c>
      <c r="C46" s="7" t="str">
        <f aca="false">IF(34&lt;=$B$3,"x","")</f>
        <v/>
      </c>
      <c r="D46" s="7" t="str">
        <f aca="false">IF(34&lt;=$B$3,RANDBETWEEN(MIN($B$7,$B$8),MAX($B$7,$B$8)),"")</f>
        <v/>
      </c>
      <c r="E46" s="7" t="str">
        <f aca="false">IF(34&lt;=$B$3,"=","")</f>
        <v/>
      </c>
      <c r="F46" s="8" t="str">
        <f aca="false">IF(34&lt;=$B$3,B46*D46,"")</f>
        <v/>
      </c>
      <c r="G46" s="7" t="str">
        <f aca="false">IF(34&lt;=$B$3,B46&amp;" x "&amp;D46&amp;" = ?","")</f>
        <v/>
      </c>
    </row>
    <row r="47" customFormat="false" ht="15" hidden="false" customHeight="false" outlineLevel="0" collapsed="false">
      <c r="A47" s="7" t="str">
        <f aca="false">IF(35&lt;=$B$3,35,"")</f>
        <v/>
      </c>
      <c r="B47" s="7" t="str">
        <f aca="false">IF(35&lt;=$B$3,IF($B$6="Aralık",RANDBETWEEN(MIN($B$4,$B$5),MAX($B$4,$B$5)),CHOOSE(RANDBETWEEN(1,2),$B$4,$B$5)),"")</f>
        <v/>
      </c>
      <c r="C47" s="7" t="str">
        <f aca="false">IF(35&lt;=$B$3,"x","")</f>
        <v/>
      </c>
      <c r="D47" s="7" t="str">
        <f aca="false">IF(35&lt;=$B$3,RANDBETWEEN(MIN($B$7,$B$8),MAX($B$7,$B$8)),"")</f>
        <v/>
      </c>
      <c r="E47" s="7" t="str">
        <f aca="false">IF(35&lt;=$B$3,"=","")</f>
        <v/>
      </c>
      <c r="F47" s="8" t="str">
        <f aca="false">IF(35&lt;=$B$3,B47*D47,"")</f>
        <v/>
      </c>
      <c r="G47" s="7" t="str">
        <f aca="false">IF(35&lt;=$B$3,B47&amp;" x "&amp;D47&amp;" = ?","")</f>
        <v/>
      </c>
    </row>
    <row r="48" customFormat="false" ht="15" hidden="false" customHeight="false" outlineLevel="0" collapsed="false">
      <c r="A48" s="7" t="str">
        <f aca="false">IF(36&lt;=$B$3,36,"")</f>
        <v/>
      </c>
      <c r="B48" s="7" t="str">
        <f aca="false">IF(36&lt;=$B$3,IF($B$6="Aralık",RANDBETWEEN(MIN($B$4,$B$5),MAX($B$4,$B$5)),CHOOSE(RANDBETWEEN(1,2),$B$4,$B$5)),"")</f>
        <v/>
      </c>
      <c r="C48" s="7" t="str">
        <f aca="false">IF(36&lt;=$B$3,"x","")</f>
        <v/>
      </c>
      <c r="D48" s="7" t="str">
        <f aca="false">IF(36&lt;=$B$3,RANDBETWEEN(MIN($B$7,$B$8),MAX($B$7,$B$8)),"")</f>
        <v/>
      </c>
      <c r="E48" s="7" t="str">
        <f aca="false">IF(36&lt;=$B$3,"=","")</f>
        <v/>
      </c>
      <c r="F48" s="8" t="str">
        <f aca="false">IF(36&lt;=$B$3,B48*D48,"")</f>
        <v/>
      </c>
      <c r="G48" s="7" t="str">
        <f aca="false">IF(36&lt;=$B$3,B48&amp;" x "&amp;D48&amp;" = ?","")</f>
        <v/>
      </c>
    </row>
    <row r="49" customFormat="false" ht="15" hidden="false" customHeight="false" outlineLevel="0" collapsed="false">
      <c r="A49" s="7" t="str">
        <f aca="false">IF(37&lt;=$B$3,37,"")</f>
        <v/>
      </c>
      <c r="B49" s="7" t="str">
        <f aca="false">IF(37&lt;=$B$3,IF($B$6="Aralık",RANDBETWEEN(MIN($B$4,$B$5),MAX($B$4,$B$5)),CHOOSE(RANDBETWEEN(1,2),$B$4,$B$5)),"")</f>
        <v/>
      </c>
      <c r="C49" s="7" t="str">
        <f aca="false">IF(37&lt;=$B$3,"x","")</f>
        <v/>
      </c>
      <c r="D49" s="7" t="str">
        <f aca="false">IF(37&lt;=$B$3,RANDBETWEEN(MIN($B$7,$B$8),MAX($B$7,$B$8)),"")</f>
        <v/>
      </c>
      <c r="E49" s="7" t="str">
        <f aca="false">IF(37&lt;=$B$3,"=","")</f>
        <v/>
      </c>
      <c r="F49" s="8" t="str">
        <f aca="false">IF(37&lt;=$B$3,B49*D49,"")</f>
        <v/>
      </c>
      <c r="G49" s="7" t="str">
        <f aca="false">IF(37&lt;=$B$3,B49&amp;" x "&amp;D49&amp;" = ?","")</f>
        <v/>
      </c>
    </row>
    <row r="50" customFormat="false" ht="15" hidden="false" customHeight="false" outlineLevel="0" collapsed="false">
      <c r="A50" s="7" t="str">
        <f aca="false">IF(38&lt;=$B$3,38,"")</f>
        <v/>
      </c>
      <c r="B50" s="7" t="str">
        <f aca="false">IF(38&lt;=$B$3,IF($B$6="Aralık",RANDBETWEEN(MIN($B$4,$B$5),MAX($B$4,$B$5)),CHOOSE(RANDBETWEEN(1,2),$B$4,$B$5)),"")</f>
        <v/>
      </c>
      <c r="C50" s="7" t="str">
        <f aca="false">IF(38&lt;=$B$3,"x","")</f>
        <v/>
      </c>
      <c r="D50" s="7" t="str">
        <f aca="false">IF(38&lt;=$B$3,RANDBETWEEN(MIN($B$7,$B$8),MAX($B$7,$B$8)),"")</f>
        <v/>
      </c>
      <c r="E50" s="7" t="str">
        <f aca="false">IF(38&lt;=$B$3,"=","")</f>
        <v/>
      </c>
      <c r="F50" s="8" t="str">
        <f aca="false">IF(38&lt;=$B$3,B50*D50,"")</f>
        <v/>
      </c>
      <c r="G50" s="7" t="str">
        <f aca="false">IF(38&lt;=$B$3,B50&amp;" x "&amp;D50&amp;" = ?","")</f>
        <v/>
      </c>
    </row>
    <row r="51" customFormat="false" ht="15" hidden="false" customHeight="false" outlineLevel="0" collapsed="false">
      <c r="A51" s="7" t="str">
        <f aca="false">IF(39&lt;=$B$3,39,"")</f>
        <v/>
      </c>
      <c r="B51" s="7" t="str">
        <f aca="false">IF(39&lt;=$B$3,IF($B$6="Aralık",RANDBETWEEN(MIN($B$4,$B$5),MAX($B$4,$B$5)),CHOOSE(RANDBETWEEN(1,2),$B$4,$B$5)),"")</f>
        <v/>
      </c>
      <c r="C51" s="7" t="str">
        <f aca="false">IF(39&lt;=$B$3,"x","")</f>
        <v/>
      </c>
      <c r="D51" s="7" t="str">
        <f aca="false">IF(39&lt;=$B$3,RANDBETWEEN(MIN($B$7,$B$8),MAX($B$7,$B$8)),"")</f>
        <v/>
      </c>
      <c r="E51" s="7" t="str">
        <f aca="false">IF(39&lt;=$B$3,"=","")</f>
        <v/>
      </c>
      <c r="F51" s="8" t="str">
        <f aca="false">IF(39&lt;=$B$3,B51*D51,"")</f>
        <v/>
      </c>
      <c r="G51" s="7" t="str">
        <f aca="false">IF(39&lt;=$B$3,B51&amp;" x "&amp;D51&amp;" = ?","")</f>
        <v/>
      </c>
    </row>
    <row r="52" customFormat="false" ht="15" hidden="false" customHeight="false" outlineLevel="0" collapsed="false">
      <c r="A52" s="7" t="str">
        <f aca="false">IF(40&lt;=$B$3,40,"")</f>
        <v/>
      </c>
      <c r="B52" s="7" t="str">
        <f aca="false">IF(40&lt;=$B$3,IF($B$6="Aralık",RANDBETWEEN(MIN($B$4,$B$5),MAX($B$4,$B$5)),CHOOSE(RANDBETWEEN(1,2),$B$4,$B$5)),"")</f>
        <v/>
      </c>
      <c r="C52" s="7" t="str">
        <f aca="false">IF(40&lt;=$B$3,"x","")</f>
        <v/>
      </c>
      <c r="D52" s="7" t="str">
        <f aca="false">IF(40&lt;=$B$3,RANDBETWEEN(MIN($B$7,$B$8),MAX($B$7,$B$8)),"")</f>
        <v/>
      </c>
      <c r="E52" s="7" t="str">
        <f aca="false">IF(40&lt;=$B$3,"=","")</f>
        <v/>
      </c>
      <c r="F52" s="8" t="str">
        <f aca="false">IF(40&lt;=$B$3,B52*D52,"")</f>
        <v/>
      </c>
      <c r="G52" s="7" t="str">
        <f aca="false">IF(40&lt;=$B$3,B52&amp;" x "&amp;D52&amp;" = ?","")</f>
        <v/>
      </c>
    </row>
    <row r="53" customFormat="false" ht="15" hidden="false" customHeight="false" outlineLevel="0" collapsed="false">
      <c r="A53" s="7" t="str">
        <f aca="false">IF(41&lt;=$B$3,41,"")</f>
        <v/>
      </c>
      <c r="B53" s="7" t="str">
        <f aca="false">IF(41&lt;=$B$3,IF($B$6="Aralık",RANDBETWEEN(MIN($B$4,$B$5),MAX($B$4,$B$5)),CHOOSE(RANDBETWEEN(1,2),$B$4,$B$5)),"")</f>
        <v/>
      </c>
      <c r="C53" s="7" t="str">
        <f aca="false">IF(41&lt;=$B$3,"x","")</f>
        <v/>
      </c>
      <c r="D53" s="7" t="str">
        <f aca="false">IF(41&lt;=$B$3,RANDBETWEEN(MIN($B$7,$B$8),MAX($B$7,$B$8)),"")</f>
        <v/>
      </c>
      <c r="E53" s="7" t="str">
        <f aca="false">IF(41&lt;=$B$3,"=","")</f>
        <v/>
      </c>
      <c r="F53" s="8" t="str">
        <f aca="false">IF(41&lt;=$B$3,B53*D53,"")</f>
        <v/>
      </c>
      <c r="G53" s="7" t="str">
        <f aca="false">IF(41&lt;=$B$3,B53&amp;" x "&amp;D53&amp;" = ?","")</f>
        <v/>
      </c>
    </row>
    <row r="54" customFormat="false" ht="15" hidden="false" customHeight="false" outlineLevel="0" collapsed="false">
      <c r="A54" s="7" t="str">
        <f aca="false">IF(42&lt;=$B$3,42,"")</f>
        <v/>
      </c>
      <c r="B54" s="7" t="str">
        <f aca="false">IF(42&lt;=$B$3,IF($B$6="Aralık",RANDBETWEEN(MIN($B$4,$B$5),MAX($B$4,$B$5)),CHOOSE(RANDBETWEEN(1,2),$B$4,$B$5)),"")</f>
        <v/>
      </c>
      <c r="C54" s="7" t="str">
        <f aca="false">IF(42&lt;=$B$3,"x","")</f>
        <v/>
      </c>
      <c r="D54" s="7" t="str">
        <f aca="false">IF(42&lt;=$B$3,RANDBETWEEN(MIN($B$7,$B$8),MAX($B$7,$B$8)),"")</f>
        <v/>
      </c>
      <c r="E54" s="7" t="str">
        <f aca="false">IF(42&lt;=$B$3,"=","")</f>
        <v/>
      </c>
      <c r="F54" s="8" t="str">
        <f aca="false">IF(42&lt;=$B$3,B54*D54,"")</f>
        <v/>
      </c>
      <c r="G54" s="7" t="str">
        <f aca="false">IF(42&lt;=$B$3,B54&amp;" x "&amp;D54&amp;" = ?","")</f>
        <v/>
      </c>
    </row>
    <row r="55" customFormat="false" ht="15" hidden="false" customHeight="false" outlineLevel="0" collapsed="false">
      <c r="A55" s="7" t="str">
        <f aca="false">IF(43&lt;=$B$3,43,"")</f>
        <v/>
      </c>
      <c r="B55" s="7" t="str">
        <f aca="false">IF(43&lt;=$B$3,IF($B$6="Aralık",RANDBETWEEN(MIN($B$4,$B$5),MAX($B$4,$B$5)),CHOOSE(RANDBETWEEN(1,2),$B$4,$B$5)),"")</f>
        <v/>
      </c>
      <c r="C55" s="7" t="str">
        <f aca="false">IF(43&lt;=$B$3,"x","")</f>
        <v/>
      </c>
      <c r="D55" s="7" t="str">
        <f aca="false">IF(43&lt;=$B$3,RANDBETWEEN(MIN($B$7,$B$8),MAX($B$7,$B$8)),"")</f>
        <v/>
      </c>
      <c r="E55" s="7" t="str">
        <f aca="false">IF(43&lt;=$B$3,"=","")</f>
        <v/>
      </c>
      <c r="F55" s="8" t="str">
        <f aca="false">IF(43&lt;=$B$3,B55*D55,"")</f>
        <v/>
      </c>
      <c r="G55" s="7" t="str">
        <f aca="false">IF(43&lt;=$B$3,B55&amp;" x "&amp;D55&amp;" = ?","")</f>
        <v/>
      </c>
    </row>
    <row r="56" customFormat="false" ht="15" hidden="false" customHeight="false" outlineLevel="0" collapsed="false">
      <c r="A56" s="7" t="str">
        <f aca="false">IF(44&lt;=$B$3,44,"")</f>
        <v/>
      </c>
      <c r="B56" s="7" t="str">
        <f aca="false">IF(44&lt;=$B$3,IF($B$6="Aralık",RANDBETWEEN(MIN($B$4,$B$5),MAX($B$4,$B$5)),CHOOSE(RANDBETWEEN(1,2),$B$4,$B$5)),"")</f>
        <v/>
      </c>
      <c r="C56" s="7" t="str">
        <f aca="false">IF(44&lt;=$B$3,"x","")</f>
        <v/>
      </c>
      <c r="D56" s="7" t="str">
        <f aca="false">IF(44&lt;=$B$3,RANDBETWEEN(MIN($B$7,$B$8),MAX($B$7,$B$8)),"")</f>
        <v/>
      </c>
      <c r="E56" s="7" t="str">
        <f aca="false">IF(44&lt;=$B$3,"=","")</f>
        <v/>
      </c>
      <c r="F56" s="8" t="str">
        <f aca="false">IF(44&lt;=$B$3,B56*D56,"")</f>
        <v/>
      </c>
      <c r="G56" s="7" t="str">
        <f aca="false">IF(44&lt;=$B$3,B56&amp;" x "&amp;D56&amp;" = ?","")</f>
        <v/>
      </c>
    </row>
    <row r="57" customFormat="false" ht="15" hidden="false" customHeight="false" outlineLevel="0" collapsed="false">
      <c r="A57" s="7" t="str">
        <f aca="false">IF(45&lt;=$B$3,45,"")</f>
        <v/>
      </c>
      <c r="B57" s="7" t="str">
        <f aca="false">IF(45&lt;=$B$3,IF($B$6="Aralık",RANDBETWEEN(MIN($B$4,$B$5),MAX($B$4,$B$5)),CHOOSE(RANDBETWEEN(1,2),$B$4,$B$5)),"")</f>
        <v/>
      </c>
      <c r="C57" s="7" t="str">
        <f aca="false">IF(45&lt;=$B$3,"x","")</f>
        <v/>
      </c>
      <c r="D57" s="7" t="str">
        <f aca="false">IF(45&lt;=$B$3,RANDBETWEEN(MIN($B$7,$B$8),MAX($B$7,$B$8)),"")</f>
        <v/>
      </c>
      <c r="E57" s="7" t="str">
        <f aca="false">IF(45&lt;=$B$3,"=","")</f>
        <v/>
      </c>
      <c r="F57" s="8" t="str">
        <f aca="false">IF(45&lt;=$B$3,B57*D57,"")</f>
        <v/>
      </c>
      <c r="G57" s="7" t="str">
        <f aca="false">IF(45&lt;=$B$3,B57&amp;" x "&amp;D57&amp;" = ?","")</f>
        <v/>
      </c>
    </row>
    <row r="58" customFormat="false" ht="15" hidden="false" customHeight="false" outlineLevel="0" collapsed="false">
      <c r="A58" s="7" t="str">
        <f aca="false">IF(46&lt;=$B$3,46,"")</f>
        <v/>
      </c>
      <c r="B58" s="7" t="str">
        <f aca="false">IF(46&lt;=$B$3,IF($B$6="Aralık",RANDBETWEEN(MIN($B$4,$B$5),MAX($B$4,$B$5)),CHOOSE(RANDBETWEEN(1,2),$B$4,$B$5)),"")</f>
        <v/>
      </c>
      <c r="C58" s="7" t="str">
        <f aca="false">IF(46&lt;=$B$3,"x","")</f>
        <v/>
      </c>
      <c r="D58" s="7" t="str">
        <f aca="false">IF(46&lt;=$B$3,RANDBETWEEN(MIN($B$7,$B$8),MAX($B$7,$B$8)),"")</f>
        <v/>
      </c>
      <c r="E58" s="7" t="str">
        <f aca="false">IF(46&lt;=$B$3,"=","")</f>
        <v/>
      </c>
      <c r="F58" s="8" t="str">
        <f aca="false">IF(46&lt;=$B$3,B58*D58,"")</f>
        <v/>
      </c>
      <c r="G58" s="7" t="str">
        <f aca="false">IF(46&lt;=$B$3,B58&amp;" x "&amp;D58&amp;" = ?","")</f>
        <v/>
      </c>
    </row>
    <row r="59" customFormat="false" ht="15" hidden="false" customHeight="false" outlineLevel="0" collapsed="false">
      <c r="A59" s="7" t="str">
        <f aca="false">IF(47&lt;=$B$3,47,"")</f>
        <v/>
      </c>
      <c r="B59" s="7" t="str">
        <f aca="false">IF(47&lt;=$B$3,IF($B$6="Aralık",RANDBETWEEN(MIN($B$4,$B$5),MAX($B$4,$B$5)),CHOOSE(RANDBETWEEN(1,2),$B$4,$B$5)),"")</f>
        <v/>
      </c>
      <c r="C59" s="7" t="str">
        <f aca="false">IF(47&lt;=$B$3,"x","")</f>
        <v/>
      </c>
      <c r="D59" s="7" t="str">
        <f aca="false">IF(47&lt;=$B$3,RANDBETWEEN(MIN($B$7,$B$8),MAX($B$7,$B$8)),"")</f>
        <v/>
      </c>
      <c r="E59" s="7" t="str">
        <f aca="false">IF(47&lt;=$B$3,"=","")</f>
        <v/>
      </c>
      <c r="F59" s="8" t="str">
        <f aca="false">IF(47&lt;=$B$3,B59*D59,"")</f>
        <v/>
      </c>
      <c r="G59" s="7" t="str">
        <f aca="false">IF(47&lt;=$B$3,B59&amp;" x "&amp;D59&amp;" = ?","")</f>
        <v/>
      </c>
    </row>
    <row r="60" customFormat="false" ht="15" hidden="false" customHeight="false" outlineLevel="0" collapsed="false">
      <c r="A60" s="7" t="str">
        <f aca="false">IF(48&lt;=$B$3,48,"")</f>
        <v/>
      </c>
      <c r="B60" s="7" t="str">
        <f aca="false">IF(48&lt;=$B$3,IF($B$6="Aralık",RANDBETWEEN(MIN($B$4,$B$5),MAX($B$4,$B$5)),CHOOSE(RANDBETWEEN(1,2),$B$4,$B$5)),"")</f>
        <v/>
      </c>
      <c r="C60" s="7" t="str">
        <f aca="false">IF(48&lt;=$B$3,"x","")</f>
        <v/>
      </c>
      <c r="D60" s="7" t="str">
        <f aca="false">IF(48&lt;=$B$3,RANDBETWEEN(MIN($B$7,$B$8),MAX($B$7,$B$8)),"")</f>
        <v/>
      </c>
      <c r="E60" s="7" t="str">
        <f aca="false">IF(48&lt;=$B$3,"=","")</f>
        <v/>
      </c>
      <c r="F60" s="8" t="str">
        <f aca="false">IF(48&lt;=$B$3,B60*D60,"")</f>
        <v/>
      </c>
      <c r="G60" s="7" t="str">
        <f aca="false">IF(48&lt;=$B$3,B60&amp;" x "&amp;D60&amp;" = ?","")</f>
        <v/>
      </c>
    </row>
    <row r="61" customFormat="false" ht="15" hidden="false" customHeight="false" outlineLevel="0" collapsed="false">
      <c r="A61" s="7" t="str">
        <f aca="false">IF(49&lt;=$B$3,49,"")</f>
        <v/>
      </c>
      <c r="B61" s="7" t="str">
        <f aca="false">IF(49&lt;=$B$3,IF($B$6="Aralık",RANDBETWEEN(MIN($B$4,$B$5),MAX($B$4,$B$5)),CHOOSE(RANDBETWEEN(1,2),$B$4,$B$5)),"")</f>
        <v/>
      </c>
      <c r="C61" s="7" t="str">
        <f aca="false">IF(49&lt;=$B$3,"x","")</f>
        <v/>
      </c>
      <c r="D61" s="7" t="str">
        <f aca="false">IF(49&lt;=$B$3,RANDBETWEEN(MIN($B$7,$B$8),MAX($B$7,$B$8)),"")</f>
        <v/>
      </c>
      <c r="E61" s="7" t="str">
        <f aca="false">IF(49&lt;=$B$3,"=","")</f>
        <v/>
      </c>
      <c r="F61" s="8" t="str">
        <f aca="false">IF(49&lt;=$B$3,B61*D61,"")</f>
        <v/>
      </c>
      <c r="G61" s="7" t="str">
        <f aca="false">IF(49&lt;=$B$3,B61&amp;" x "&amp;D61&amp;" = ?","")</f>
        <v/>
      </c>
    </row>
    <row r="62" customFormat="false" ht="15" hidden="false" customHeight="false" outlineLevel="0" collapsed="false">
      <c r="A62" s="7" t="str">
        <f aca="false">IF(50&lt;=$B$3,50,"")</f>
        <v/>
      </c>
      <c r="B62" s="7" t="str">
        <f aca="false">IF(50&lt;=$B$3,IF($B$6="Aralık",RANDBETWEEN(MIN($B$4,$B$5),MAX($B$4,$B$5)),CHOOSE(RANDBETWEEN(1,2),$B$4,$B$5)),"")</f>
        <v/>
      </c>
      <c r="C62" s="7" t="str">
        <f aca="false">IF(50&lt;=$B$3,"x","")</f>
        <v/>
      </c>
      <c r="D62" s="7" t="str">
        <f aca="false">IF(50&lt;=$B$3,RANDBETWEEN(MIN($B$7,$B$8),MAX($B$7,$B$8)),"")</f>
        <v/>
      </c>
      <c r="E62" s="7" t="str">
        <f aca="false">IF(50&lt;=$B$3,"=","")</f>
        <v/>
      </c>
      <c r="F62" s="8" t="str">
        <f aca="false">IF(50&lt;=$B$3,B62*D62,"")</f>
        <v/>
      </c>
      <c r="G62" s="7" t="str">
        <f aca="false">IF(50&lt;=$B$3,B62&amp;" x "&amp;D62&amp;" = ?","")</f>
        <v/>
      </c>
    </row>
    <row r="63" customFormat="false" ht="15" hidden="false" customHeight="false" outlineLevel="0" collapsed="false">
      <c r="A63" s="7" t="str">
        <f aca="false">IF(51&lt;=$B$3,51,"")</f>
        <v/>
      </c>
      <c r="B63" s="7" t="str">
        <f aca="false">IF(51&lt;=$B$3,IF($B$6="Aralık",RANDBETWEEN(MIN($B$4,$B$5),MAX($B$4,$B$5)),CHOOSE(RANDBETWEEN(1,2),$B$4,$B$5)),"")</f>
        <v/>
      </c>
      <c r="C63" s="7" t="str">
        <f aca="false">IF(51&lt;=$B$3,"x","")</f>
        <v/>
      </c>
      <c r="D63" s="7" t="str">
        <f aca="false">IF(51&lt;=$B$3,RANDBETWEEN(MIN($B$7,$B$8),MAX($B$7,$B$8)),"")</f>
        <v/>
      </c>
      <c r="E63" s="7" t="str">
        <f aca="false">IF(51&lt;=$B$3,"=","")</f>
        <v/>
      </c>
      <c r="F63" s="8" t="str">
        <f aca="false">IF(51&lt;=$B$3,B63*D63,"")</f>
        <v/>
      </c>
      <c r="G63" s="7" t="str">
        <f aca="false">IF(51&lt;=$B$3,B63&amp;" x "&amp;D63&amp;" = ?","")</f>
        <v/>
      </c>
    </row>
    <row r="64" customFormat="false" ht="15" hidden="false" customHeight="false" outlineLevel="0" collapsed="false">
      <c r="A64" s="7" t="str">
        <f aca="false">IF(52&lt;=$B$3,52,"")</f>
        <v/>
      </c>
      <c r="B64" s="7" t="str">
        <f aca="false">IF(52&lt;=$B$3,IF($B$6="Aralık",RANDBETWEEN(MIN($B$4,$B$5),MAX($B$4,$B$5)),CHOOSE(RANDBETWEEN(1,2),$B$4,$B$5)),"")</f>
        <v/>
      </c>
      <c r="C64" s="7" t="str">
        <f aca="false">IF(52&lt;=$B$3,"x","")</f>
        <v/>
      </c>
      <c r="D64" s="7" t="str">
        <f aca="false">IF(52&lt;=$B$3,RANDBETWEEN(MIN($B$7,$B$8),MAX($B$7,$B$8)),"")</f>
        <v/>
      </c>
      <c r="E64" s="7" t="str">
        <f aca="false">IF(52&lt;=$B$3,"=","")</f>
        <v/>
      </c>
      <c r="F64" s="8" t="str">
        <f aca="false">IF(52&lt;=$B$3,B64*D64,"")</f>
        <v/>
      </c>
      <c r="G64" s="7" t="str">
        <f aca="false">IF(52&lt;=$B$3,B64&amp;" x "&amp;D64&amp;" = ?","")</f>
        <v/>
      </c>
    </row>
    <row r="65" customFormat="false" ht="15" hidden="false" customHeight="false" outlineLevel="0" collapsed="false">
      <c r="A65" s="7" t="str">
        <f aca="false">IF(53&lt;=$B$3,53,"")</f>
        <v/>
      </c>
      <c r="B65" s="7" t="str">
        <f aca="false">IF(53&lt;=$B$3,IF($B$6="Aralık",RANDBETWEEN(MIN($B$4,$B$5),MAX($B$4,$B$5)),CHOOSE(RANDBETWEEN(1,2),$B$4,$B$5)),"")</f>
        <v/>
      </c>
      <c r="C65" s="7" t="str">
        <f aca="false">IF(53&lt;=$B$3,"x","")</f>
        <v/>
      </c>
      <c r="D65" s="7" t="str">
        <f aca="false">IF(53&lt;=$B$3,RANDBETWEEN(MIN($B$7,$B$8),MAX($B$7,$B$8)),"")</f>
        <v/>
      </c>
      <c r="E65" s="7" t="str">
        <f aca="false">IF(53&lt;=$B$3,"=","")</f>
        <v/>
      </c>
      <c r="F65" s="8" t="str">
        <f aca="false">IF(53&lt;=$B$3,B65*D65,"")</f>
        <v/>
      </c>
      <c r="G65" s="7" t="str">
        <f aca="false">IF(53&lt;=$B$3,B65&amp;" x "&amp;D65&amp;" = ?","")</f>
        <v/>
      </c>
    </row>
    <row r="66" customFormat="false" ht="15" hidden="false" customHeight="false" outlineLevel="0" collapsed="false">
      <c r="A66" s="7" t="str">
        <f aca="false">IF(54&lt;=$B$3,54,"")</f>
        <v/>
      </c>
      <c r="B66" s="7" t="str">
        <f aca="false">IF(54&lt;=$B$3,IF($B$6="Aralık",RANDBETWEEN(MIN($B$4,$B$5),MAX($B$4,$B$5)),CHOOSE(RANDBETWEEN(1,2),$B$4,$B$5)),"")</f>
        <v/>
      </c>
      <c r="C66" s="7" t="str">
        <f aca="false">IF(54&lt;=$B$3,"x","")</f>
        <v/>
      </c>
      <c r="D66" s="7" t="str">
        <f aca="false">IF(54&lt;=$B$3,RANDBETWEEN(MIN($B$7,$B$8),MAX($B$7,$B$8)),"")</f>
        <v/>
      </c>
      <c r="E66" s="7" t="str">
        <f aca="false">IF(54&lt;=$B$3,"=","")</f>
        <v/>
      </c>
      <c r="F66" s="8" t="str">
        <f aca="false">IF(54&lt;=$B$3,B66*D66,"")</f>
        <v/>
      </c>
      <c r="G66" s="7" t="str">
        <f aca="false">IF(54&lt;=$B$3,B66&amp;" x "&amp;D66&amp;" = ?","")</f>
        <v/>
      </c>
    </row>
    <row r="67" customFormat="false" ht="15" hidden="false" customHeight="false" outlineLevel="0" collapsed="false">
      <c r="A67" s="7" t="str">
        <f aca="false">IF(55&lt;=$B$3,55,"")</f>
        <v/>
      </c>
      <c r="B67" s="7" t="str">
        <f aca="false">IF(55&lt;=$B$3,IF($B$6="Aralık",RANDBETWEEN(MIN($B$4,$B$5),MAX($B$4,$B$5)),CHOOSE(RANDBETWEEN(1,2),$B$4,$B$5)),"")</f>
        <v/>
      </c>
      <c r="C67" s="7" t="str">
        <f aca="false">IF(55&lt;=$B$3,"x","")</f>
        <v/>
      </c>
      <c r="D67" s="7" t="str">
        <f aca="false">IF(55&lt;=$B$3,RANDBETWEEN(MIN($B$7,$B$8),MAX($B$7,$B$8)),"")</f>
        <v/>
      </c>
      <c r="E67" s="7" t="str">
        <f aca="false">IF(55&lt;=$B$3,"=","")</f>
        <v/>
      </c>
      <c r="F67" s="8" t="str">
        <f aca="false">IF(55&lt;=$B$3,B67*D67,"")</f>
        <v/>
      </c>
      <c r="G67" s="7" t="str">
        <f aca="false">IF(55&lt;=$B$3,B67&amp;" x "&amp;D67&amp;" = ?","")</f>
        <v/>
      </c>
    </row>
    <row r="68" customFormat="false" ht="15" hidden="false" customHeight="false" outlineLevel="0" collapsed="false">
      <c r="A68" s="7" t="str">
        <f aca="false">IF(56&lt;=$B$3,56,"")</f>
        <v/>
      </c>
      <c r="B68" s="7" t="str">
        <f aca="false">IF(56&lt;=$B$3,IF($B$6="Aralık",RANDBETWEEN(MIN($B$4,$B$5),MAX($B$4,$B$5)),CHOOSE(RANDBETWEEN(1,2),$B$4,$B$5)),"")</f>
        <v/>
      </c>
      <c r="C68" s="7" t="str">
        <f aca="false">IF(56&lt;=$B$3,"x","")</f>
        <v/>
      </c>
      <c r="D68" s="7" t="str">
        <f aca="false">IF(56&lt;=$B$3,RANDBETWEEN(MIN($B$7,$B$8),MAX($B$7,$B$8)),"")</f>
        <v/>
      </c>
      <c r="E68" s="7" t="str">
        <f aca="false">IF(56&lt;=$B$3,"=","")</f>
        <v/>
      </c>
      <c r="F68" s="8" t="str">
        <f aca="false">IF(56&lt;=$B$3,B68*D68,"")</f>
        <v/>
      </c>
      <c r="G68" s="7" t="str">
        <f aca="false">IF(56&lt;=$B$3,B68&amp;" x "&amp;D68&amp;" = ?","")</f>
        <v/>
      </c>
    </row>
    <row r="69" customFormat="false" ht="15" hidden="false" customHeight="false" outlineLevel="0" collapsed="false">
      <c r="A69" s="7" t="str">
        <f aca="false">IF(57&lt;=$B$3,57,"")</f>
        <v/>
      </c>
      <c r="B69" s="7" t="str">
        <f aca="false">IF(57&lt;=$B$3,IF($B$6="Aralık",RANDBETWEEN(MIN($B$4,$B$5),MAX($B$4,$B$5)),CHOOSE(RANDBETWEEN(1,2),$B$4,$B$5)),"")</f>
        <v/>
      </c>
      <c r="C69" s="7" t="str">
        <f aca="false">IF(57&lt;=$B$3,"x","")</f>
        <v/>
      </c>
      <c r="D69" s="7" t="str">
        <f aca="false">IF(57&lt;=$B$3,RANDBETWEEN(MIN($B$7,$B$8),MAX($B$7,$B$8)),"")</f>
        <v/>
      </c>
      <c r="E69" s="7" t="str">
        <f aca="false">IF(57&lt;=$B$3,"=","")</f>
        <v/>
      </c>
      <c r="F69" s="8" t="str">
        <f aca="false">IF(57&lt;=$B$3,B69*D69,"")</f>
        <v/>
      </c>
      <c r="G69" s="7" t="str">
        <f aca="false">IF(57&lt;=$B$3,B69&amp;" x "&amp;D69&amp;" = ?","")</f>
        <v/>
      </c>
    </row>
    <row r="70" customFormat="false" ht="15" hidden="false" customHeight="false" outlineLevel="0" collapsed="false">
      <c r="A70" s="7" t="str">
        <f aca="false">IF(58&lt;=$B$3,58,"")</f>
        <v/>
      </c>
      <c r="B70" s="7" t="str">
        <f aca="false">IF(58&lt;=$B$3,IF($B$6="Aralık",RANDBETWEEN(MIN($B$4,$B$5),MAX($B$4,$B$5)),CHOOSE(RANDBETWEEN(1,2),$B$4,$B$5)),"")</f>
        <v/>
      </c>
      <c r="C70" s="7" t="str">
        <f aca="false">IF(58&lt;=$B$3,"x","")</f>
        <v/>
      </c>
      <c r="D70" s="7" t="str">
        <f aca="false">IF(58&lt;=$B$3,RANDBETWEEN(MIN($B$7,$B$8),MAX($B$7,$B$8)),"")</f>
        <v/>
      </c>
      <c r="E70" s="7" t="str">
        <f aca="false">IF(58&lt;=$B$3,"=","")</f>
        <v/>
      </c>
      <c r="F70" s="8" t="str">
        <f aca="false">IF(58&lt;=$B$3,B70*D70,"")</f>
        <v/>
      </c>
      <c r="G70" s="7" t="str">
        <f aca="false">IF(58&lt;=$B$3,B70&amp;" x "&amp;D70&amp;" = ?","")</f>
        <v/>
      </c>
    </row>
    <row r="71" customFormat="false" ht="15" hidden="false" customHeight="false" outlineLevel="0" collapsed="false">
      <c r="A71" s="7" t="str">
        <f aca="false">IF(59&lt;=$B$3,59,"")</f>
        <v/>
      </c>
      <c r="B71" s="7" t="str">
        <f aca="false">IF(59&lt;=$B$3,IF($B$6="Aralık",RANDBETWEEN(MIN($B$4,$B$5),MAX($B$4,$B$5)),CHOOSE(RANDBETWEEN(1,2),$B$4,$B$5)),"")</f>
        <v/>
      </c>
      <c r="C71" s="7" t="str">
        <f aca="false">IF(59&lt;=$B$3,"x","")</f>
        <v/>
      </c>
      <c r="D71" s="7" t="str">
        <f aca="false">IF(59&lt;=$B$3,RANDBETWEEN(MIN($B$7,$B$8),MAX($B$7,$B$8)),"")</f>
        <v/>
      </c>
      <c r="E71" s="7" t="str">
        <f aca="false">IF(59&lt;=$B$3,"=","")</f>
        <v/>
      </c>
      <c r="F71" s="8" t="str">
        <f aca="false">IF(59&lt;=$B$3,B71*D71,"")</f>
        <v/>
      </c>
      <c r="G71" s="7" t="str">
        <f aca="false">IF(59&lt;=$B$3,B71&amp;" x "&amp;D71&amp;" = ?","")</f>
        <v/>
      </c>
    </row>
    <row r="72" customFormat="false" ht="15" hidden="false" customHeight="false" outlineLevel="0" collapsed="false">
      <c r="A72" s="7" t="str">
        <f aca="false">IF(60&lt;=$B$3,60,"")</f>
        <v/>
      </c>
      <c r="B72" s="7" t="str">
        <f aca="false">IF(60&lt;=$B$3,IF($B$6="Aralık",RANDBETWEEN(MIN($B$4,$B$5),MAX($B$4,$B$5)),CHOOSE(RANDBETWEEN(1,2),$B$4,$B$5)),"")</f>
        <v/>
      </c>
      <c r="C72" s="7" t="str">
        <f aca="false">IF(60&lt;=$B$3,"x","")</f>
        <v/>
      </c>
      <c r="D72" s="7" t="str">
        <f aca="false">IF(60&lt;=$B$3,RANDBETWEEN(MIN($B$7,$B$8),MAX($B$7,$B$8)),"")</f>
        <v/>
      </c>
      <c r="E72" s="7" t="str">
        <f aca="false">IF(60&lt;=$B$3,"=","")</f>
        <v/>
      </c>
      <c r="F72" s="8" t="str">
        <f aca="false">IF(60&lt;=$B$3,B72*D72,"")</f>
        <v/>
      </c>
      <c r="G72" s="7" t="str">
        <f aca="false">IF(60&lt;=$B$3,B72&amp;" x "&amp;D72&amp;" = ?","")</f>
        <v/>
      </c>
    </row>
    <row r="73" customFormat="false" ht="15" hidden="false" customHeight="false" outlineLevel="0" collapsed="false">
      <c r="A73" s="7" t="str">
        <f aca="false">IF(61&lt;=$B$3,61,"")</f>
        <v/>
      </c>
      <c r="B73" s="7" t="str">
        <f aca="false">IF(61&lt;=$B$3,IF($B$6="Aralık",RANDBETWEEN(MIN($B$4,$B$5),MAX($B$4,$B$5)),CHOOSE(RANDBETWEEN(1,2),$B$4,$B$5)),"")</f>
        <v/>
      </c>
      <c r="C73" s="7" t="str">
        <f aca="false">IF(61&lt;=$B$3,"x","")</f>
        <v/>
      </c>
      <c r="D73" s="7" t="str">
        <f aca="false">IF(61&lt;=$B$3,RANDBETWEEN(MIN($B$7,$B$8),MAX($B$7,$B$8)),"")</f>
        <v/>
      </c>
      <c r="E73" s="7" t="str">
        <f aca="false">IF(61&lt;=$B$3,"=","")</f>
        <v/>
      </c>
      <c r="F73" s="8" t="str">
        <f aca="false">IF(61&lt;=$B$3,B73*D73,"")</f>
        <v/>
      </c>
      <c r="G73" s="7" t="str">
        <f aca="false">IF(61&lt;=$B$3,B73&amp;" x "&amp;D73&amp;" = ?","")</f>
        <v/>
      </c>
    </row>
    <row r="74" customFormat="false" ht="15" hidden="false" customHeight="false" outlineLevel="0" collapsed="false">
      <c r="A74" s="7" t="str">
        <f aca="false">IF(62&lt;=$B$3,62,"")</f>
        <v/>
      </c>
      <c r="B74" s="7" t="str">
        <f aca="false">IF(62&lt;=$B$3,IF($B$6="Aralık",RANDBETWEEN(MIN($B$4,$B$5),MAX($B$4,$B$5)),CHOOSE(RANDBETWEEN(1,2),$B$4,$B$5)),"")</f>
        <v/>
      </c>
      <c r="C74" s="7" t="str">
        <f aca="false">IF(62&lt;=$B$3,"x","")</f>
        <v/>
      </c>
      <c r="D74" s="7" t="str">
        <f aca="false">IF(62&lt;=$B$3,RANDBETWEEN(MIN($B$7,$B$8),MAX($B$7,$B$8)),"")</f>
        <v/>
      </c>
      <c r="E74" s="7" t="str">
        <f aca="false">IF(62&lt;=$B$3,"=","")</f>
        <v/>
      </c>
      <c r="F74" s="8" t="str">
        <f aca="false">IF(62&lt;=$B$3,B74*D74,"")</f>
        <v/>
      </c>
      <c r="G74" s="7" t="str">
        <f aca="false">IF(62&lt;=$B$3,B74&amp;" x "&amp;D74&amp;" = ?","")</f>
        <v/>
      </c>
    </row>
    <row r="75" customFormat="false" ht="15" hidden="false" customHeight="false" outlineLevel="0" collapsed="false">
      <c r="A75" s="7" t="str">
        <f aca="false">IF(63&lt;=$B$3,63,"")</f>
        <v/>
      </c>
      <c r="B75" s="7" t="str">
        <f aca="false">IF(63&lt;=$B$3,IF($B$6="Aralık",RANDBETWEEN(MIN($B$4,$B$5),MAX($B$4,$B$5)),CHOOSE(RANDBETWEEN(1,2),$B$4,$B$5)),"")</f>
        <v/>
      </c>
      <c r="C75" s="7" t="str">
        <f aca="false">IF(63&lt;=$B$3,"x","")</f>
        <v/>
      </c>
      <c r="D75" s="7" t="str">
        <f aca="false">IF(63&lt;=$B$3,RANDBETWEEN(MIN($B$7,$B$8),MAX($B$7,$B$8)),"")</f>
        <v/>
      </c>
      <c r="E75" s="7" t="str">
        <f aca="false">IF(63&lt;=$B$3,"=","")</f>
        <v/>
      </c>
      <c r="F75" s="8" t="str">
        <f aca="false">IF(63&lt;=$B$3,B75*D75,"")</f>
        <v/>
      </c>
      <c r="G75" s="7" t="str">
        <f aca="false">IF(63&lt;=$B$3,B75&amp;" x "&amp;D75&amp;" = ?","")</f>
        <v/>
      </c>
    </row>
    <row r="76" customFormat="false" ht="15" hidden="false" customHeight="false" outlineLevel="0" collapsed="false">
      <c r="A76" s="7" t="str">
        <f aca="false">IF(64&lt;=$B$3,64,"")</f>
        <v/>
      </c>
      <c r="B76" s="7" t="str">
        <f aca="false">IF(64&lt;=$B$3,IF($B$6="Aralık",RANDBETWEEN(MIN($B$4,$B$5),MAX($B$4,$B$5)),CHOOSE(RANDBETWEEN(1,2),$B$4,$B$5)),"")</f>
        <v/>
      </c>
      <c r="C76" s="7" t="str">
        <f aca="false">IF(64&lt;=$B$3,"x","")</f>
        <v/>
      </c>
      <c r="D76" s="7" t="str">
        <f aca="false">IF(64&lt;=$B$3,RANDBETWEEN(MIN($B$7,$B$8),MAX($B$7,$B$8)),"")</f>
        <v/>
      </c>
      <c r="E76" s="7" t="str">
        <f aca="false">IF(64&lt;=$B$3,"=","")</f>
        <v/>
      </c>
      <c r="F76" s="8" t="str">
        <f aca="false">IF(64&lt;=$B$3,B76*D76,"")</f>
        <v/>
      </c>
      <c r="G76" s="7" t="str">
        <f aca="false">IF(64&lt;=$B$3,B76&amp;" x "&amp;D76&amp;" = ?","")</f>
        <v/>
      </c>
    </row>
    <row r="77" customFormat="false" ht="15" hidden="false" customHeight="false" outlineLevel="0" collapsed="false">
      <c r="A77" s="7" t="str">
        <f aca="false">IF(65&lt;=$B$3,65,"")</f>
        <v/>
      </c>
      <c r="B77" s="7" t="str">
        <f aca="false">IF(65&lt;=$B$3,IF($B$6="Aralık",RANDBETWEEN(MIN($B$4,$B$5),MAX($B$4,$B$5)),CHOOSE(RANDBETWEEN(1,2),$B$4,$B$5)),"")</f>
        <v/>
      </c>
      <c r="C77" s="7" t="str">
        <f aca="false">IF(65&lt;=$B$3,"x","")</f>
        <v/>
      </c>
      <c r="D77" s="7" t="str">
        <f aca="false">IF(65&lt;=$B$3,RANDBETWEEN(MIN($B$7,$B$8),MAX($B$7,$B$8)),"")</f>
        <v/>
      </c>
      <c r="E77" s="7" t="str">
        <f aca="false">IF(65&lt;=$B$3,"=","")</f>
        <v/>
      </c>
      <c r="F77" s="8" t="str">
        <f aca="false">IF(65&lt;=$B$3,B77*D77,"")</f>
        <v/>
      </c>
      <c r="G77" s="7" t="str">
        <f aca="false">IF(65&lt;=$B$3,B77&amp;" x "&amp;D77&amp;" = ?","")</f>
        <v/>
      </c>
    </row>
    <row r="78" customFormat="false" ht="15" hidden="false" customHeight="false" outlineLevel="0" collapsed="false">
      <c r="A78" s="7" t="str">
        <f aca="false">IF(66&lt;=$B$3,66,"")</f>
        <v/>
      </c>
      <c r="B78" s="7" t="str">
        <f aca="false">IF(66&lt;=$B$3,IF($B$6="Aralık",RANDBETWEEN(MIN($B$4,$B$5),MAX($B$4,$B$5)),CHOOSE(RANDBETWEEN(1,2),$B$4,$B$5)),"")</f>
        <v/>
      </c>
      <c r="C78" s="7" t="str">
        <f aca="false">IF(66&lt;=$B$3,"x","")</f>
        <v/>
      </c>
      <c r="D78" s="7" t="str">
        <f aca="false">IF(66&lt;=$B$3,RANDBETWEEN(MIN($B$7,$B$8),MAX($B$7,$B$8)),"")</f>
        <v/>
      </c>
      <c r="E78" s="7" t="str">
        <f aca="false">IF(66&lt;=$B$3,"=","")</f>
        <v/>
      </c>
      <c r="F78" s="8" t="str">
        <f aca="false">IF(66&lt;=$B$3,B78*D78,"")</f>
        <v/>
      </c>
      <c r="G78" s="7" t="str">
        <f aca="false">IF(66&lt;=$B$3,B78&amp;" x "&amp;D78&amp;" = ?","")</f>
        <v/>
      </c>
    </row>
    <row r="79" customFormat="false" ht="15" hidden="false" customHeight="false" outlineLevel="0" collapsed="false">
      <c r="A79" s="7" t="str">
        <f aca="false">IF(67&lt;=$B$3,67,"")</f>
        <v/>
      </c>
      <c r="B79" s="7" t="str">
        <f aca="false">IF(67&lt;=$B$3,IF($B$6="Aralık",RANDBETWEEN(MIN($B$4,$B$5),MAX($B$4,$B$5)),CHOOSE(RANDBETWEEN(1,2),$B$4,$B$5)),"")</f>
        <v/>
      </c>
      <c r="C79" s="7" t="str">
        <f aca="false">IF(67&lt;=$B$3,"x","")</f>
        <v/>
      </c>
      <c r="D79" s="7" t="str">
        <f aca="false">IF(67&lt;=$B$3,RANDBETWEEN(MIN($B$7,$B$8),MAX($B$7,$B$8)),"")</f>
        <v/>
      </c>
      <c r="E79" s="7" t="str">
        <f aca="false">IF(67&lt;=$B$3,"=","")</f>
        <v/>
      </c>
      <c r="F79" s="8" t="str">
        <f aca="false">IF(67&lt;=$B$3,B79*D79,"")</f>
        <v/>
      </c>
      <c r="G79" s="7" t="str">
        <f aca="false">IF(67&lt;=$B$3,B79&amp;" x "&amp;D79&amp;" = ?","")</f>
        <v/>
      </c>
    </row>
    <row r="80" customFormat="false" ht="15" hidden="false" customHeight="false" outlineLevel="0" collapsed="false">
      <c r="A80" s="7" t="str">
        <f aca="false">IF(68&lt;=$B$3,68,"")</f>
        <v/>
      </c>
      <c r="B80" s="7" t="str">
        <f aca="false">IF(68&lt;=$B$3,IF($B$6="Aralık",RANDBETWEEN(MIN($B$4,$B$5),MAX($B$4,$B$5)),CHOOSE(RANDBETWEEN(1,2),$B$4,$B$5)),"")</f>
        <v/>
      </c>
      <c r="C80" s="7" t="str">
        <f aca="false">IF(68&lt;=$B$3,"x","")</f>
        <v/>
      </c>
      <c r="D80" s="7" t="str">
        <f aca="false">IF(68&lt;=$B$3,RANDBETWEEN(MIN($B$7,$B$8),MAX($B$7,$B$8)),"")</f>
        <v/>
      </c>
      <c r="E80" s="7" t="str">
        <f aca="false">IF(68&lt;=$B$3,"=","")</f>
        <v/>
      </c>
      <c r="F80" s="8" t="str">
        <f aca="false">IF(68&lt;=$B$3,B80*D80,"")</f>
        <v/>
      </c>
      <c r="G80" s="7" t="str">
        <f aca="false">IF(68&lt;=$B$3,B80&amp;" x "&amp;D80&amp;" = ?","")</f>
        <v/>
      </c>
    </row>
    <row r="81" customFormat="false" ht="15" hidden="false" customHeight="false" outlineLevel="0" collapsed="false">
      <c r="A81" s="7" t="str">
        <f aca="false">IF(69&lt;=$B$3,69,"")</f>
        <v/>
      </c>
      <c r="B81" s="7" t="str">
        <f aca="false">IF(69&lt;=$B$3,IF($B$6="Aralık",RANDBETWEEN(MIN($B$4,$B$5),MAX($B$4,$B$5)),CHOOSE(RANDBETWEEN(1,2),$B$4,$B$5)),"")</f>
        <v/>
      </c>
      <c r="C81" s="7" t="str">
        <f aca="false">IF(69&lt;=$B$3,"x","")</f>
        <v/>
      </c>
      <c r="D81" s="7" t="str">
        <f aca="false">IF(69&lt;=$B$3,RANDBETWEEN(MIN($B$7,$B$8),MAX($B$7,$B$8)),"")</f>
        <v/>
      </c>
      <c r="E81" s="7" t="str">
        <f aca="false">IF(69&lt;=$B$3,"=","")</f>
        <v/>
      </c>
      <c r="F81" s="8" t="str">
        <f aca="false">IF(69&lt;=$B$3,B81*D81,"")</f>
        <v/>
      </c>
      <c r="G81" s="7" t="str">
        <f aca="false">IF(69&lt;=$B$3,B81&amp;" x "&amp;D81&amp;" = ?","")</f>
        <v/>
      </c>
    </row>
    <row r="82" customFormat="false" ht="15" hidden="false" customHeight="false" outlineLevel="0" collapsed="false">
      <c r="A82" s="7" t="str">
        <f aca="false">IF(70&lt;=$B$3,70,"")</f>
        <v/>
      </c>
      <c r="B82" s="7" t="str">
        <f aca="false">IF(70&lt;=$B$3,IF($B$6="Aralık",RANDBETWEEN(MIN($B$4,$B$5),MAX($B$4,$B$5)),CHOOSE(RANDBETWEEN(1,2),$B$4,$B$5)),"")</f>
        <v/>
      </c>
      <c r="C82" s="7" t="str">
        <f aca="false">IF(70&lt;=$B$3,"x","")</f>
        <v/>
      </c>
      <c r="D82" s="7" t="str">
        <f aca="false">IF(70&lt;=$B$3,RANDBETWEEN(MIN($B$7,$B$8),MAX($B$7,$B$8)),"")</f>
        <v/>
      </c>
      <c r="E82" s="7" t="str">
        <f aca="false">IF(70&lt;=$B$3,"=","")</f>
        <v/>
      </c>
      <c r="F82" s="8" t="str">
        <f aca="false">IF(70&lt;=$B$3,B82*D82,"")</f>
        <v/>
      </c>
      <c r="G82" s="7" t="str">
        <f aca="false">IF(70&lt;=$B$3,B82&amp;" x "&amp;D82&amp;" = ?","")</f>
        <v/>
      </c>
    </row>
    <row r="83" customFormat="false" ht="15" hidden="false" customHeight="false" outlineLevel="0" collapsed="false">
      <c r="A83" s="7" t="str">
        <f aca="false">IF(71&lt;=$B$3,71,"")</f>
        <v/>
      </c>
      <c r="B83" s="7" t="str">
        <f aca="false">IF(71&lt;=$B$3,IF($B$6="Aralık",RANDBETWEEN(MIN($B$4,$B$5),MAX($B$4,$B$5)),CHOOSE(RANDBETWEEN(1,2),$B$4,$B$5)),"")</f>
        <v/>
      </c>
      <c r="C83" s="7" t="str">
        <f aca="false">IF(71&lt;=$B$3,"x","")</f>
        <v/>
      </c>
      <c r="D83" s="7" t="str">
        <f aca="false">IF(71&lt;=$B$3,RANDBETWEEN(MIN($B$7,$B$8),MAX($B$7,$B$8)),"")</f>
        <v/>
      </c>
      <c r="E83" s="7" t="str">
        <f aca="false">IF(71&lt;=$B$3,"=","")</f>
        <v/>
      </c>
      <c r="F83" s="8" t="str">
        <f aca="false">IF(71&lt;=$B$3,B83*D83,"")</f>
        <v/>
      </c>
      <c r="G83" s="7" t="str">
        <f aca="false">IF(71&lt;=$B$3,B83&amp;" x "&amp;D83&amp;" = ?","")</f>
        <v/>
      </c>
    </row>
    <row r="84" customFormat="false" ht="15" hidden="false" customHeight="false" outlineLevel="0" collapsed="false">
      <c r="A84" s="7" t="str">
        <f aca="false">IF(72&lt;=$B$3,72,"")</f>
        <v/>
      </c>
      <c r="B84" s="7" t="str">
        <f aca="false">IF(72&lt;=$B$3,IF($B$6="Aralık",RANDBETWEEN(MIN($B$4,$B$5),MAX($B$4,$B$5)),CHOOSE(RANDBETWEEN(1,2),$B$4,$B$5)),"")</f>
        <v/>
      </c>
      <c r="C84" s="7" t="str">
        <f aca="false">IF(72&lt;=$B$3,"x","")</f>
        <v/>
      </c>
      <c r="D84" s="7" t="str">
        <f aca="false">IF(72&lt;=$B$3,RANDBETWEEN(MIN($B$7,$B$8),MAX($B$7,$B$8)),"")</f>
        <v/>
      </c>
      <c r="E84" s="7" t="str">
        <f aca="false">IF(72&lt;=$B$3,"=","")</f>
        <v/>
      </c>
      <c r="F84" s="8" t="str">
        <f aca="false">IF(72&lt;=$B$3,B84*D84,"")</f>
        <v/>
      </c>
      <c r="G84" s="7" t="str">
        <f aca="false">IF(72&lt;=$B$3,B84&amp;" x "&amp;D84&amp;" = ?","")</f>
        <v/>
      </c>
    </row>
    <row r="85" customFormat="false" ht="15" hidden="false" customHeight="false" outlineLevel="0" collapsed="false">
      <c r="A85" s="7" t="str">
        <f aca="false">IF(73&lt;=$B$3,73,"")</f>
        <v/>
      </c>
      <c r="B85" s="7" t="str">
        <f aca="false">IF(73&lt;=$B$3,IF($B$6="Aralık",RANDBETWEEN(MIN($B$4,$B$5),MAX($B$4,$B$5)),CHOOSE(RANDBETWEEN(1,2),$B$4,$B$5)),"")</f>
        <v/>
      </c>
      <c r="C85" s="7" t="str">
        <f aca="false">IF(73&lt;=$B$3,"x","")</f>
        <v/>
      </c>
      <c r="D85" s="7" t="str">
        <f aca="false">IF(73&lt;=$B$3,RANDBETWEEN(MIN($B$7,$B$8),MAX($B$7,$B$8)),"")</f>
        <v/>
      </c>
      <c r="E85" s="7" t="str">
        <f aca="false">IF(73&lt;=$B$3,"=","")</f>
        <v/>
      </c>
      <c r="F85" s="8" t="str">
        <f aca="false">IF(73&lt;=$B$3,B85*D85,"")</f>
        <v/>
      </c>
      <c r="G85" s="7" t="str">
        <f aca="false">IF(73&lt;=$B$3,B85&amp;" x "&amp;D85&amp;" = ?","")</f>
        <v/>
      </c>
    </row>
    <row r="86" customFormat="false" ht="15" hidden="false" customHeight="false" outlineLevel="0" collapsed="false">
      <c r="A86" s="7" t="str">
        <f aca="false">IF(74&lt;=$B$3,74,"")</f>
        <v/>
      </c>
      <c r="B86" s="7" t="str">
        <f aca="false">IF(74&lt;=$B$3,IF($B$6="Aralık",RANDBETWEEN(MIN($B$4,$B$5),MAX($B$4,$B$5)),CHOOSE(RANDBETWEEN(1,2),$B$4,$B$5)),"")</f>
        <v/>
      </c>
      <c r="C86" s="7" t="str">
        <f aca="false">IF(74&lt;=$B$3,"x","")</f>
        <v/>
      </c>
      <c r="D86" s="7" t="str">
        <f aca="false">IF(74&lt;=$B$3,RANDBETWEEN(MIN($B$7,$B$8),MAX($B$7,$B$8)),"")</f>
        <v/>
      </c>
      <c r="E86" s="7" t="str">
        <f aca="false">IF(74&lt;=$B$3,"=","")</f>
        <v/>
      </c>
      <c r="F86" s="8" t="str">
        <f aca="false">IF(74&lt;=$B$3,B86*D86,"")</f>
        <v/>
      </c>
      <c r="G86" s="7" t="str">
        <f aca="false">IF(74&lt;=$B$3,B86&amp;" x "&amp;D86&amp;" = ?","")</f>
        <v/>
      </c>
    </row>
    <row r="87" customFormat="false" ht="15" hidden="false" customHeight="false" outlineLevel="0" collapsed="false">
      <c r="A87" s="7" t="str">
        <f aca="false">IF(75&lt;=$B$3,75,"")</f>
        <v/>
      </c>
      <c r="B87" s="7" t="str">
        <f aca="false">IF(75&lt;=$B$3,IF($B$6="Aralık",RANDBETWEEN(MIN($B$4,$B$5),MAX($B$4,$B$5)),CHOOSE(RANDBETWEEN(1,2),$B$4,$B$5)),"")</f>
        <v/>
      </c>
      <c r="C87" s="7" t="str">
        <f aca="false">IF(75&lt;=$B$3,"x","")</f>
        <v/>
      </c>
      <c r="D87" s="7" t="str">
        <f aca="false">IF(75&lt;=$B$3,RANDBETWEEN(MIN($B$7,$B$8),MAX($B$7,$B$8)),"")</f>
        <v/>
      </c>
      <c r="E87" s="7" t="str">
        <f aca="false">IF(75&lt;=$B$3,"=","")</f>
        <v/>
      </c>
      <c r="F87" s="8" t="str">
        <f aca="false">IF(75&lt;=$B$3,B87*D87,"")</f>
        <v/>
      </c>
      <c r="G87" s="7" t="str">
        <f aca="false">IF(75&lt;=$B$3,B87&amp;" x "&amp;D87&amp;" = ?","")</f>
        <v/>
      </c>
    </row>
    <row r="88" customFormat="false" ht="15" hidden="false" customHeight="false" outlineLevel="0" collapsed="false">
      <c r="A88" s="7" t="str">
        <f aca="false">IF(76&lt;=$B$3,76,"")</f>
        <v/>
      </c>
      <c r="B88" s="7" t="str">
        <f aca="false">IF(76&lt;=$B$3,IF($B$6="Aralık",RANDBETWEEN(MIN($B$4,$B$5),MAX($B$4,$B$5)),CHOOSE(RANDBETWEEN(1,2),$B$4,$B$5)),"")</f>
        <v/>
      </c>
      <c r="C88" s="7" t="str">
        <f aca="false">IF(76&lt;=$B$3,"x","")</f>
        <v/>
      </c>
      <c r="D88" s="7" t="str">
        <f aca="false">IF(76&lt;=$B$3,RANDBETWEEN(MIN($B$7,$B$8),MAX($B$7,$B$8)),"")</f>
        <v/>
      </c>
      <c r="E88" s="7" t="str">
        <f aca="false">IF(76&lt;=$B$3,"=","")</f>
        <v/>
      </c>
      <c r="F88" s="8" t="str">
        <f aca="false">IF(76&lt;=$B$3,B88*D88,"")</f>
        <v/>
      </c>
      <c r="G88" s="7" t="str">
        <f aca="false">IF(76&lt;=$B$3,B88&amp;" x "&amp;D88&amp;" = ?","")</f>
        <v/>
      </c>
    </row>
    <row r="89" customFormat="false" ht="15" hidden="false" customHeight="false" outlineLevel="0" collapsed="false">
      <c r="A89" s="7" t="str">
        <f aca="false">IF(77&lt;=$B$3,77,"")</f>
        <v/>
      </c>
      <c r="B89" s="7" t="str">
        <f aca="false">IF(77&lt;=$B$3,IF($B$6="Aralık",RANDBETWEEN(MIN($B$4,$B$5),MAX($B$4,$B$5)),CHOOSE(RANDBETWEEN(1,2),$B$4,$B$5)),"")</f>
        <v/>
      </c>
      <c r="C89" s="7" t="str">
        <f aca="false">IF(77&lt;=$B$3,"x","")</f>
        <v/>
      </c>
      <c r="D89" s="7" t="str">
        <f aca="false">IF(77&lt;=$B$3,RANDBETWEEN(MIN($B$7,$B$8),MAX($B$7,$B$8)),"")</f>
        <v/>
      </c>
      <c r="E89" s="7" t="str">
        <f aca="false">IF(77&lt;=$B$3,"=","")</f>
        <v/>
      </c>
      <c r="F89" s="8" t="str">
        <f aca="false">IF(77&lt;=$B$3,B89*D89,"")</f>
        <v/>
      </c>
      <c r="G89" s="7" t="str">
        <f aca="false">IF(77&lt;=$B$3,B89&amp;" x "&amp;D89&amp;" = ?","")</f>
        <v/>
      </c>
    </row>
    <row r="90" customFormat="false" ht="15" hidden="false" customHeight="false" outlineLevel="0" collapsed="false">
      <c r="A90" s="7" t="str">
        <f aca="false">IF(78&lt;=$B$3,78,"")</f>
        <v/>
      </c>
      <c r="B90" s="7" t="str">
        <f aca="false">IF(78&lt;=$B$3,IF($B$6="Aralık",RANDBETWEEN(MIN($B$4,$B$5),MAX($B$4,$B$5)),CHOOSE(RANDBETWEEN(1,2),$B$4,$B$5)),"")</f>
        <v/>
      </c>
      <c r="C90" s="7" t="str">
        <f aca="false">IF(78&lt;=$B$3,"x","")</f>
        <v/>
      </c>
      <c r="D90" s="7" t="str">
        <f aca="false">IF(78&lt;=$B$3,RANDBETWEEN(MIN($B$7,$B$8),MAX($B$7,$B$8)),"")</f>
        <v/>
      </c>
      <c r="E90" s="7" t="str">
        <f aca="false">IF(78&lt;=$B$3,"=","")</f>
        <v/>
      </c>
      <c r="F90" s="8" t="str">
        <f aca="false">IF(78&lt;=$B$3,B90*D90,"")</f>
        <v/>
      </c>
      <c r="G90" s="7" t="str">
        <f aca="false">IF(78&lt;=$B$3,B90&amp;" x "&amp;D90&amp;" = ?","")</f>
        <v/>
      </c>
    </row>
    <row r="91" customFormat="false" ht="15" hidden="false" customHeight="false" outlineLevel="0" collapsed="false">
      <c r="A91" s="7" t="str">
        <f aca="false">IF(79&lt;=$B$3,79,"")</f>
        <v/>
      </c>
      <c r="B91" s="7" t="str">
        <f aca="false">IF(79&lt;=$B$3,IF($B$6="Aralık",RANDBETWEEN(MIN($B$4,$B$5),MAX($B$4,$B$5)),CHOOSE(RANDBETWEEN(1,2),$B$4,$B$5)),"")</f>
        <v/>
      </c>
      <c r="C91" s="7" t="str">
        <f aca="false">IF(79&lt;=$B$3,"x","")</f>
        <v/>
      </c>
      <c r="D91" s="7" t="str">
        <f aca="false">IF(79&lt;=$B$3,RANDBETWEEN(MIN($B$7,$B$8),MAX($B$7,$B$8)),"")</f>
        <v/>
      </c>
      <c r="E91" s="7" t="str">
        <f aca="false">IF(79&lt;=$B$3,"=","")</f>
        <v/>
      </c>
      <c r="F91" s="8" t="str">
        <f aca="false">IF(79&lt;=$B$3,B91*D91,"")</f>
        <v/>
      </c>
      <c r="G91" s="7" t="str">
        <f aca="false">IF(79&lt;=$B$3,B91&amp;" x "&amp;D91&amp;" = ?","")</f>
        <v/>
      </c>
    </row>
    <row r="92" customFormat="false" ht="15" hidden="false" customHeight="false" outlineLevel="0" collapsed="false">
      <c r="A92" s="7" t="str">
        <f aca="false">IF(80&lt;=$B$3,80,"")</f>
        <v/>
      </c>
      <c r="B92" s="7" t="str">
        <f aca="false">IF(80&lt;=$B$3,IF($B$6="Aralık",RANDBETWEEN(MIN($B$4,$B$5),MAX($B$4,$B$5)),CHOOSE(RANDBETWEEN(1,2),$B$4,$B$5)),"")</f>
        <v/>
      </c>
      <c r="C92" s="7" t="str">
        <f aca="false">IF(80&lt;=$B$3,"x","")</f>
        <v/>
      </c>
      <c r="D92" s="7" t="str">
        <f aca="false">IF(80&lt;=$B$3,RANDBETWEEN(MIN($B$7,$B$8),MAX($B$7,$B$8)),"")</f>
        <v/>
      </c>
      <c r="E92" s="7" t="str">
        <f aca="false">IF(80&lt;=$B$3,"=","")</f>
        <v/>
      </c>
      <c r="F92" s="8" t="str">
        <f aca="false">IF(80&lt;=$B$3,B92*D92,"")</f>
        <v/>
      </c>
      <c r="G92" s="7" t="str">
        <f aca="false">IF(80&lt;=$B$3,B92&amp;" x "&amp;D92&amp;" = ?","")</f>
        <v/>
      </c>
    </row>
    <row r="93" customFormat="false" ht="15" hidden="false" customHeight="false" outlineLevel="0" collapsed="false">
      <c r="A93" s="7" t="str">
        <f aca="false">IF(81&lt;=$B$3,81,"")</f>
        <v/>
      </c>
      <c r="B93" s="7" t="str">
        <f aca="false">IF(81&lt;=$B$3,IF($B$6="Aralık",RANDBETWEEN(MIN($B$4,$B$5),MAX($B$4,$B$5)),CHOOSE(RANDBETWEEN(1,2),$B$4,$B$5)),"")</f>
        <v/>
      </c>
      <c r="C93" s="7" t="str">
        <f aca="false">IF(81&lt;=$B$3,"x","")</f>
        <v/>
      </c>
      <c r="D93" s="7" t="str">
        <f aca="false">IF(81&lt;=$B$3,RANDBETWEEN(MIN($B$7,$B$8),MAX($B$7,$B$8)),"")</f>
        <v/>
      </c>
      <c r="E93" s="7" t="str">
        <f aca="false">IF(81&lt;=$B$3,"=","")</f>
        <v/>
      </c>
      <c r="F93" s="8" t="str">
        <f aca="false">IF(81&lt;=$B$3,B93*D93,"")</f>
        <v/>
      </c>
      <c r="G93" s="7" t="str">
        <f aca="false">IF(81&lt;=$B$3,B93&amp;" x "&amp;D93&amp;" = ?","")</f>
        <v/>
      </c>
    </row>
    <row r="94" customFormat="false" ht="15" hidden="false" customHeight="false" outlineLevel="0" collapsed="false">
      <c r="A94" s="7" t="str">
        <f aca="false">IF(82&lt;=$B$3,82,"")</f>
        <v/>
      </c>
      <c r="B94" s="7" t="str">
        <f aca="false">IF(82&lt;=$B$3,IF($B$6="Aralık",RANDBETWEEN(MIN($B$4,$B$5),MAX($B$4,$B$5)),CHOOSE(RANDBETWEEN(1,2),$B$4,$B$5)),"")</f>
        <v/>
      </c>
      <c r="C94" s="7" t="str">
        <f aca="false">IF(82&lt;=$B$3,"x","")</f>
        <v/>
      </c>
      <c r="D94" s="7" t="str">
        <f aca="false">IF(82&lt;=$B$3,RANDBETWEEN(MIN($B$7,$B$8),MAX($B$7,$B$8)),"")</f>
        <v/>
      </c>
      <c r="E94" s="7" t="str">
        <f aca="false">IF(82&lt;=$B$3,"=","")</f>
        <v/>
      </c>
      <c r="F94" s="8" t="str">
        <f aca="false">IF(82&lt;=$B$3,B94*D94,"")</f>
        <v/>
      </c>
      <c r="G94" s="7" t="str">
        <f aca="false">IF(82&lt;=$B$3,B94&amp;" x "&amp;D94&amp;" = ?","")</f>
        <v/>
      </c>
    </row>
    <row r="95" customFormat="false" ht="15" hidden="false" customHeight="false" outlineLevel="0" collapsed="false">
      <c r="A95" s="7" t="str">
        <f aca="false">IF(83&lt;=$B$3,83,"")</f>
        <v/>
      </c>
      <c r="B95" s="7" t="str">
        <f aca="false">IF(83&lt;=$B$3,IF($B$6="Aralık",RANDBETWEEN(MIN($B$4,$B$5),MAX($B$4,$B$5)),CHOOSE(RANDBETWEEN(1,2),$B$4,$B$5)),"")</f>
        <v/>
      </c>
      <c r="C95" s="7" t="str">
        <f aca="false">IF(83&lt;=$B$3,"x","")</f>
        <v/>
      </c>
      <c r="D95" s="7" t="str">
        <f aca="false">IF(83&lt;=$B$3,RANDBETWEEN(MIN($B$7,$B$8),MAX($B$7,$B$8)),"")</f>
        <v/>
      </c>
      <c r="E95" s="7" t="str">
        <f aca="false">IF(83&lt;=$B$3,"=","")</f>
        <v/>
      </c>
      <c r="F95" s="8" t="str">
        <f aca="false">IF(83&lt;=$B$3,B95*D95,"")</f>
        <v/>
      </c>
      <c r="G95" s="7" t="str">
        <f aca="false">IF(83&lt;=$B$3,B95&amp;" x "&amp;D95&amp;" = ?","")</f>
        <v/>
      </c>
    </row>
    <row r="96" customFormat="false" ht="15" hidden="false" customHeight="false" outlineLevel="0" collapsed="false">
      <c r="A96" s="7" t="str">
        <f aca="false">IF(84&lt;=$B$3,84,"")</f>
        <v/>
      </c>
      <c r="B96" s="7" t="str">
        <f aca="false">IF(84&lt;=$B$3,IF($B$6="Aralık",RANDBETWEEN(MIN($B$4,$B$5),MAX($B$4,$B$5)),CHOOSE(RANDBETWEEN(1,2),$B$4,$B$5)),"")</f>
        <v/>
      </c>
      <c r="C96" s="7" t="str">
        <f aca="false">IF(84&lt;=$B$3,"x","")</f>
        <v/>
      </c>
      <c r="D96" s="7" t="str">
        <f aca="false">IF(84&lt;=$B$3,RANDBETWEEN(MIN($B$7,$B$8),MAX($B$7,$B$8)),"")</f>
        <v/>
      </c>
      <c r="E96" s="7" t="str">
        <f aca="false">IF(84&lt;=$B$3,"=","")</f>
        <v/>
      </c>
      <c r="F96" s="8" t="str">
        <f aca="false">IF(84&lt;=$B$3,B96*D96,"")</f>
        <v/>
      </c>
      <c r="G96" s="7" t="str">
        <f aca="false">IF(84&lt;=$B$3,B96&amp;" x "&amp;D96&amp;" = ?","")</f>
        <v/>
      </c>
    </row>
    <row r="97" customFormat="false" ht="15" hidden="false" customHeight="false" outlineLevel="0" collapsed="false">
      <c r="A97" s="7" t="str">
        <f aca="false">IF(85&lt;=$B$3,85,"")</f>
        <v/>
      </c>
      <c r="B97" s="7" t="str">
        <f aca="false">IF(85&lt;=$B$3,IF($B$6="Aralık",RANDBETWEEN(MIN($B$4,$B$5),MAX($B$4,$B$5)),CHOOSE(RANDBETWEEN(1,2),$B$4,$B$5)),"")</f>
        <v/>
      </c>
      <c r="C97" s="7" t="str">
        <f aca="false">IF(85&lt;=$B$3,"x","")</f>
        <v/>
      </c>
      <c r="D97" s="7" t="str">
        <f aca="false">IF(85&lt;=$B$3,RANDBETWEEN(MIN($B$7,$B$8),MAX($B$7,$B$8)),"")</f>
        <v/>
      </c>
      <c r="E97" s="7" t="str">
        <f aca="false">IF(85&lt;=$B$3,"=","")</f>
        <v/>
      </c>
      <c r="F97" s="8" t="str">
        <f aca="false">IF(85&lt;=$B$3,B97*D97,"")</f>
        <v/>
      </c>
      <c r="G97" s="7" t="str">
        <f aca="false">IF(85&lt;=$B$3,B97&amp;" x "&amp;D97&amp;" = ?","")</f>
        <v/>
      </c>
    </row>
    <row r="98" customFormat="false" ht="15" hidden="false" customHeight="false" outlineLevel="0" collapsed="false">
      <c r="A98" s="7" t="str">
        <f aca="false">IF(86&lt;=$B$3,86,"")</f>
        <v/>
      </c>
      <c r="B98" s="7" t="str">
        <f aca="false">IF(86&lt;=$B$3,IF($B$6="Aralık",RANDBETWEEN(MIN($B$4,$B$5),MAX($B$4,$B$5)),CHOOSE(RANDBETWEEN(1,2),$B$4,$B$5)),"")</f>
        <v/>
      </c>
      <c r="C98" s="7" t="str">
        <f aca="false">IF(86&lt;=$B$3,"x","")</f>
        <v/>
      </c>
      <c r="D98" s="7" t="str">
        <f aca="false">IF(86&lt;=$B$3,RANDBETWEEN(MIN($B$7,$B$8),MAX($B$7,$B$8)),"")</f>
        <v/>
      </c>
      <c r="E98" s="7" t="str">
        <f aca="false">IF(86&lt;=$B$3,"=","")</f>
        <v/>
      </c>
      <c r="F98" s="8" t="str">
        <f aca="false">IF(86&lt;=$B$3,B98*D98,"")</f>
        <v/>
      </c>
      <c r="G98" s="7" t="str">
        <f aca="false">IF(86&lt;=$B$3,B98&amp;" x "&amp;D98&amp;" = ?","")</f>
        <v/>
      </c>
    </row>
    <row r="99" customFormat="false" ht="15" hidden="false" customHeight="false" outlineLevel="0" collapsed="false">
      <c r="A99" s="7" t="str">
        <f aca="false">IF(87&lt;=$B$3,87,"")</f>
        <v/>
      </c>
      <c r="B99" s="7" t="str">
        <f aca="false">IF(87&lt;=$B$3,IF($B$6="Aralık",RANDBETWEEN(MIN($B$4,$B$5),MAX($B$4,$B$5)),CHOOSE(RANDBETWEEN(1,2),$B$4,$B$5)),"")</f>
        <v/>
      </c>
      <c r="C99" s="7" t="str">
        <f aca="false">IF(87&lt;=$B$3,"x","")</f>
        <v/>
      </c>
      <c r="D99" s="7" t="str">
        <f aca="false">IF(87&lt;=$B$3,RANDBETWEEN(MIN($B$7,$B$8),MAX($B$7,$B$8)),"")</f>
        <v/>
      </c>
      <c r="E99" s="7" t="str">
        <f aca="false">IF(87&lt;=$B$3,"=","")</f>
        <v/>
      </c>
      <c r="F99" s="8" t="str">
        <f aca="false">IF(87&lt;=$B$3,B99*D99,"")</f>
        <v/>
      </c>
      <c r="G99" s="7" t="str">
        <f aca="false">IF(87&lt;=$B$3,B99&amp;" x "&amp;D99&amp;" = ?","")</f>
        <v/>
      </c>
    </row>
    <row r="100" customFormat="false" ht="15" hidden="false" customHeight="false" outlineLevel="0" collapsed="false">
      <c r="A100" s="7" t="str">
        <f aca="false">IF(88&lt;=$B$3,88,"")</f>
        <v/>
      </c>
      <c r="B100" s="7" t="str">
        <f aca="false">IF(88&lt;=$B$3,IF($B$6="Aralık",RANDBETWEEN(MIN($B$4,$B$5),MAX($B$4,$B$5)),CHOOSE(RANDBETWEEN(1,2),$B$4,$B$5)),"")</f>
        <v/>
      </c>
      <c r="C100" s="7" t="str">
        <f aca="false">IF(88&lt;=$B$3,"x","")</f>
        <v/>
      </c>
      <c r="D100" s="7" t="str">
        <f aca="false">IF(88&lt;=$B$3,RANDBETWEEN(MIN($B$7,$B$8),MAX($B$7,$B$8)),"")</f>
        <v/>
      </c>
      <c r="E100" s="7" t="str">
        <f aca="false">IF(88&lt;=$B$3,"=","")</f>
        <v/>
      </c>
      <c r="F100" s="8" t="str">
        <f aca="false">IF(88&lt;=$B$3,B100*D100,"")</f>
        <v/>
      </c>
      <c r="G100" s="7" t="str">
        <f aca="false">IF(88&lt;=$B$3,B100&amp;" x "&amp;D100&amp;" = ?","")</f>
        <v/>
      </c>
    </row>
    <row r="101" customFormat="false" ht="15" hidden="false" customHeight="false" outlineLevel="0" collapsed="false">
      <c r="A101" s="7" t="str">
        <f aca="false">IF(89&lt;=$B$3,89,"")</f>
        <v/>
      </c>
      <c r="B101" s="7" t="str">
        <f aca="false">IF(89&lt;=$B$3,IF($B$6="Aralık",RANDBETWEEN(MIN($B$4,$B$5),MAX($B$4,$B$5)),CHOOSE(RANDBETWEEN(1,2),$B$4,$B$5)),"")</f>
        <v/>
      </c>
      <c r="C101" s="7" t="str">
        <f aca="false">IF(89&lt;=$B$3,"x","")</f>
        <v/>
      </c>
      <c r="D101" s="7" t="str">
        <f aca="false">IF(89&lt;=$B$3,RANDBETWEEN(MIN($B$7,$B$8),MAX($B$7,$B$8)),"")</f>
        <v/>
      </c>
      <c r="E101" s="7" t="str">
        <f aca="false">IF(89&lt;=$B$3,"=","")</f>
        <v/>
      </c>
      <c r="F101" s="8" t="str">
        <f aca="false">IF(89&lt;=$B$3,B101*D101,"")</f>
        <v/>
      </c>
      <c r="G101" s="7" t="str">
        <f aca="false">IF(89&lt;=$B$3,B101&amp;" x "&amp;D101&amp;" = ?","")</f>
        <v/>
      </c>
    </row>
    <row r="102" customFormat="false" ht="15" hidden="false" customHeight="false" outlineLevel="0" collapsed="false">
      <c r="A102" s="7" t="str">
        <f aca="false">IF(90&lt;=$B$3,90,"")</f>
        <v/>
      </c>
      <c r="B102" s="7" t="str">
        <f aca="false">IF(90&lt;=$B$3,IF($B$6="Aralık",RANDBETWEEN(MIN($B$4,$B$5),MAX($B$4,$B$5)),CHOOSE(RANDBETWEEN(1,2),$B$4,$B$5)),"")</f>
        <v/>
      </c>
      <c r="C102" s="7" t="str">
        <f aca="false">IF(90&lt;=$B$3,"x","")</f>
        <v/>
      </c>
      <c r="D102" s="7" t="str">
        <f aca="false">IF(90&lt;=$B$3,RANDBETWEEN(MIN($B$7,$B$8),MAX($B$7,$B$8)),"")</f>
        <v/>
      </c>
      <c r="E102" s="7" t="str">
        <f aca="false">IF(90&lt;=$B$3,"=","")</f>
        <v/>
      </c>
      <c r="F102" s="8" t="str">
        <f aca="false">IF(90&lt;=$B$3,B102*D102,"")</f>
        <v/>
      </c>
      <c r="G102" s="7" t="str">
        <f aca="false">IF(90&lt;=$B$3,B102&amp;" x "&amp;D102&amp;" = ?","")</f>
        <v/>
      </c>
    </row>
    <row r="103" customFormat="false" ht="15" hidden="false" customHeight="false" outlineLevel="0" collapsed="false">
      <c r="A103" s="7" t="str">
        <f aca="false">IF(91&lt;=$B$3,91,"")</f>
        <v/>
      </c>
      <c r="B103" s="7" t="str">
        <f aca="false">IF(91&lt;=$B$3,IF($B$6="Aralık",RANDBETWEEN(MIN($B$4,$B$5),MAX($B$4,$B$5)),CHOOSE(RANDBETWEEN(1,2),$B$4,$B$5)),"")</f>
        <v/>
      </c>
      <c r="C103" s="7" t="str">
        <f aca="false">IF(91&lt;=$B$3,"x","")</f>
        <v/>
      </c>
      <c r="D103" s="7" t="str">
        <f aca="false">IF(91&lt;=$B$3,RANDBETWEEN(MIN($B$7,$B$8),MAX($B$7,$B$8)),"")</f>
        <v/>
      </c>
      <c r="E103" s="7" t="str">
        <f aca="false">IF(91&lt;=$B$3,"=","")</f>
        <v/>
      </c>
      <c r="F103" s="8" t="str">
        <f aca="false">IF(91&lt;=$B$3,B103*D103,"")</f>
        <v/>
      </c>
      <c r="G103" s="7" t="str">
        <f aca="false">IF(91&lt;=$B$3,B103&amp;" x "&amp;D103&amp;" = ?","")</f>
        <v/>
      </c>
    </row>
    <row r="104" customFormat="false" ht="15" hidden="false" customHeight="false" outlineLevel="0" collapsed="false">
      <c r="A104" s="7" t="str">
        <f aca="false">IF(92&lt;=$B$3,92,"")</f>
        <v/>
      </c>
      <c r="B104" s="7" t="str">
        <f aca="false">IF(92&lt;=$B$3,IF($B$6="Aralık",RANDBETWEEN(MIN($B$4,$B$5),MAX($B$4,$B$5)),CHOOSE(RANDBETWEEN(1,2),$B$4,$B$5)),"")</f>
        <v/>
      </c>
      <c r="C104" s="7" t="str">
        <f aca="false">IF(92&lt;=$B$3,"x","")</f>
        <v/>
      </c>
      <c r="D104" s="7" t="str">
        <f aca="false">IF(92&lt;=$B$3,RANDBETWEEN(MIN($B$7,$B$8),MAX($B$7,$B$8)),"")</f>
        <v/>
      </c>
      <c r="E104" s="7" t="str">
        <f aca="false">IF(92&lt;=$B$3,"=","")</f>
        <v/>
      </c>
      <c r="F104" s="8" t="str">
        <f aca="false">IF(92&lt;=$B$3,B104*D104,"")</f>
        <v/>
      </c>
      <c r="G104" s="7" t="str">
        <f aca="false">IF(92&lt;=$B$3,B104&amp;" x "&amp;D104&amp;" = ?","")</f>
        <v/>
      </c>
    </row>
    <row r="105" customFormat="false" ht="15" hidden="false" customHeight="false" outlineLevel="0" collapsed="false">
      <c r="A105" s="7" t="str">
        <f aca="false">IF(93&lt;=$B$3,93,"")</f>
        <v/>
      </c>
      <c r="B105" s="7" t="str">
        <f aca="false">IF(93&lt;=$B$3,IF($B$6="Aralık",RANDBETWEEN(MIN($B$4,$B$5),MAX($B$4,$B$5)),CHOOSE(RANDBETWEEN(1,2),$B$4,$B$5)),"")</f>
        <v/>
      </c>
      <c r="C105" s="7" t="str">
        <f aca="false">IF(93&lt;=$B$3,"x","")</f>
        <v/>
      </c>
      <c r="D105" s="7" t="str">
        <f aca="false">IF(93&lt;=$B$3,RANDBETWEEN(MIN($B$7,$B$8),MAX($B$7,$B$8)),"")</f>
        <v/>
      </c>
      <c r="E105" s="7" t="str">
        <f aca="false">IF(93&lt;=$B$3,"=","")</f>
        <v/>
      </c>
      <c r="F105" s="8" t="str">
        <f aca="false">IF(93&lt;=$B$3,B105*D105,"")</f>
        <v/>
      </c>
      <c r="G105" s="7" t="str">
        <f aca="false">IF(93&lt;=$B$3,B105&amp;" x "&amp;D105&amp;" = ?","")</f>
        <v/>
      </c>
    </row>
    <row r="106" customFormat="false" ht="15" hidden="false" customHeight="false" outlineLevel="0" collapsed="false">
      <c r="A106" s="7" t="str">
        <f aca="false">IF(94&lt;=$B$3,94,"")</f>
        <v/>
      </c>
      <c r="B106" s="7" t="str">
        <f aca="false">IF(94&lt;=$B$3,IF($B$6="Aralık",RANDBETWEEN(MIN($B$4,$B$5),MAX($B$4,$B$5)),CHOOSE(RANDBETWEEN(1,2),$B$4,$B$5)),"")</f>
        <v/>
      </c>
      <c r="C106" s="7" t="str">
        <f aca="false">IF(94&lt;=$B$3,"x","")</f>
        <v/>
      </c>
      <c r="D106" s="7" t="str">
        <f aca="false">IF(94&lt;=$B$3,RANDBETWEEN(MIN($B$7,$B$8),MAX($B$7,$B$8)),"")</f>
        <v/>
      </c>
      <c r="E106" s="7" t="str">
        <f aca="false">IF(94&lt;=$B$3,"=","")</f>
        <v/>
      </c>
      <c r="F106" s="8" t="str">
        <f aca="false">IF(94&lt;=$B$3,B106*D106,"")</f>
        <v/>
      </c>
      <c r="G106" s="7" t="str">
        <f aca="false">IF(94&lt;=$B$3,B106&amp;" x "&amp;D106&amp;" = ?","")</f>
        <v/>
      </c>
    </row>
    <row r="107" customFormat="false" ht="15" hidden="false" customHeight="false" outlineLevel="0" collapsed="false">
      <c r="A107" s="7" t="str">
        <f aca="false">IF(95&lt;=$B$3,95,"")</f>
        <v/>
      </c>
      <c r="B107" s="7" t="str">
        <f aca="false">IF(95&lt;=$B$3,IF($B$6="Aralık",RANDBETWEEN(MIN($B$4,$B$5),MAX($B$4,$B$5)),CHOOSE(RANDBETWEEN(1,2),$B$4,$B$5)),"")</f>
        <v/>
      </c>
      <c r="C107" s="7" t="str">
        <f aca="false">IF(95&lt;=$B$3,"x","")</f>
        <v/>
      </c>
      <c r="D107" s="7" t="str">
        <f aca="false">IF(95&lt;=$B$3,RANDBETWEEN(MIN($B$7,$B$8),MAX($B$7,$B$8)),"")</f>
        <v/>
      </c>
      <c r="E107" s="7" t="str">
        <f aca="false">IF(95&lt;=$B$3,"=","")</f>
        <v/>
      </c>
      <c r="F107" s="8" t="str">
        <f aca="false">IF(95&lt;=$B$3,B107*D107,"")</f>
        <v/>
      </c>
      <c r="G107" s="7" t="str">
        <f aca="false">IF(95&lt;=$B$3,B107&amp;" x "&amp;D107&amp;" = ?","")</f>
        <v/>
      </c>
    </row>
    <row r="108" customFormat="false" ht="15" hidden="false" customHeight="false" outlineLevel="0" collapsed="false">
      <c r="A108" s="7" t="str">
        <f aca="false">IF(96&lt;=$B$3,96,"")</f>
        <v/>
      </c>
      <c r="B108" s="7" t="str">
        <f aca="false">IF(96&lt;=$B$3,IF($B$6="Aralık",RANDBETWEEN(MIN($B$4,$B$5),MAX($B$4,$B$5)),CHOOSE(RANDBETWEEN(1,2),$B$4,$B$5)),"")</f>
        <v/>
      </c>
      <c r="C108" s="7" t="str">
        <f aca="false">IF(96&lt;=$B$3,"x","")</f>
        <v/>
      </c>
      <c r="D108" s="7" t="str">
        <f aca="false">IF(96&lt;=$B$3,RANDBETWEEN(MIN($B$7,$B$8),MAX($B$7,$B$8)),"")</f>
        <v/>
      </c>
      <c r="E108" s="7" t="str">
        <f aca="false">IF(96&lt;=$B$3,"=","")</f>
        <v/>
      </c>
      <c r="F108" s="8" t="str">
        <f aca="false">IF(96&lt;=$B$3,B108*D108,"")</f>
        <v/>
      </c>
      <c r="G108" s="7" t="str">
        <f aca="false">IF(96&lt;=$B$3,B108&amp;" x "&amp;D108&amp;" = ?","")</f>
        <v/>
      </c>
    </row>
    <row r="109" customFormat="false" ht="15" hidden="false" customHeight="false" outlineLevel="0" collapsed="false">
      <c r="A109" s="7" t="str">
        <f aca="false">IF(97&lt;=$B$3,97,"")</f>
        <v/>
      </c>
      <c r="B109" s="7" t="str">
        <f aca="false">IF(97&lt;=$B$3,IF($B$6="Aralık",RANDBETWEEN(MIN($B$4,$B$5),MAX($B$4,$B$5)),CHOOSE(RANDBETWEEN(1,2),$B$4,$B$5)),"")</f>
        <v/>
      </c>
      <c r="C109" s="7" t="str">
        <f aca="false">IF(97&lt;=$B$3,"x","")</f>
        <v/>
      </c>
      <c r="D109" s="7" t="str">
        <f aca="false">IF(97&lt;=$B$3,RANDBETWEEN(MIN($B$7,$B$8),MAX($B$7,$B$8)),"")</f>
        <v/>
      </c>
      <c r="E109" s="7" t="str">
        <f aca="false">IF(97&lt;=$B$3,"=","")</f>
        <v/>
      </c>
      <c r="F109" s="8" t="str">
        <f aca="false">IF(97&lt;=$B$3,B109*D109,"")</f>
        <v/>
      </c>
      <c r="G109" s="7" t="str">
        <f aca="false">IF(97&lt;=$B$3,B109&amp;" x "&amp;D109&amp;" = ?","")</f>
        <v/>
      </c>
    </row>
    <row r="110" customFormat="false" ht="15" hidden="false" customHeight="false" outlineLevel="0" collapsed="false">
      <c r="A110" s="7" t="str">
        <f aca="false">IF(98&lt;=$B$3,98,"")</f>
        <v/>
      </c>
      <c r="B110" s="7" t="str">
        <f aca="false">IF(98&lt;=$B$3,IF($B$6="Aralık",RANDBETWEEN(MIN($B$4,$B$5),MAX($B$4,$B$5)),CHOOSE(RANDBETWEEN(1,2),$B$4,$B$5)),"")</f>
        <v/>
      </c>
      <c r="C110" s="7" t="str">
        <f aca="false">IF(98&lt;=$B$3,"x","")</f>
        <v/>
      </c>
      <c r="D110" s="7" t="str">
        <f aca="false">IF(98&lt;=$B$3,RANDBETWEEN(MIN($B$7,$B$8),MAX($B$7,$B$8)),"")</f>
        <v/>
      </c>
      <c r="E110" s="7" t="str">
        <f aca="false">IF(98&lt;=$B$3,"=","")</f>
        <v/>
      </c>
      <c r="F110" s="8" t="str">
        <f aca="false">IF(98&lt;=$B$3,B110*D110,"")</f>
        <v/>
      </c>
      <c r="G110" s="7" t="str">
        <f aca="false">IF(98&lt;=$B$3,B110&amp;" x "&amp;D110&amp;" = ?","")</f>
        <v/>
      </c>
    </row>
    <row r="111" customFormat="false" ht="15" hidden="false" customHeight="false" outlineLevel="0" collapsed="false">
      <c r="A111" s="7" t="str">
        <f aca="false">IF(99&lt;=$B$3,99,"")</f>
        <v/>
      </c>
      <c r="B111" s="7" t="str">
        <f aca="false">IF(99&lt;=$B$3,IF($B$6="Aralık",RANDBETWEEN(MIN($B$4,$B$5),MAX($B$4,$B$5)),CHOOSE(RANDBETWEEN(1,2),$B$4,$B$5)),"")</f>
        <v/>
      </c>
      <c r="C111" s="7" t="str">
        <f aca="false">IF(99&lt;=$B$3,"x","")</f>
        <v/>
      </c>
      <c r="D111" s="7" t="str">
        <f aca="false">IF(99&lt;=$B$3,RANDBETWEEN(MIN($B$7,$B$8),MAX($B$7,$B$8)),"")</f>
        <v/>
      </c>
      <c r="E111" s="7" t="str">
        <f aca="false">IF(99&lt;=$B$3,"=","")</f>
        <v/>
      </c>
      <c r="F111" s="8" t="str">
        <f aca="false">IF(99&lt;=$B$3,B111*D111,"")</f>
        <v/>
      </c>
      <c r="G111" s="7" t="str">
        <f aca="false">IF(99&lt;=$B$3,B111&amp;" x "&amp;D111&amp;" = ?","")</f>
        <v/>
      </c>
    </row>
    <row r="112" customFormat="false" ht="15" hidden="false" customHeight="false" outlineLevel="0" collapsed="false">
      <c r="A112" s="7" t="str">
        <f aca="false">IF(100&lt;=$B$3,100,"")</f>
        <v/>
      </c>
      <c r="B112" s="7" t="str">
        <f aca="false">IF(100&lt;=$B$3,IF($B$6="Aralık",RANDBETWEEN(MIN($B$4,$B$5),MAX($B$4,$B$5)),CHOOSE(RANDBETWEEN(1,2),$B$4,$B$5)),"")</f>
        <v/>
      </c>
      <c r="C112" s="7" t="str">
        <f aca="false">IF(100&lt;=$B$3,"x","")</f>
        <v/>
      </c>
      <c r="D112" s="7" t="str">
        <f aca="false">IF(100&lt;=$B$3,RANDBETWEEN(MIN($B$7,$B$8),MAX($B$7,$B$8)),"")</f>
        <v/>
      </c>
      <c r="E112" s="7" t="str">
        <f aca="false">IF(100&lt;=$B$3,"=","")</f>
        <v/>
      </c>
      <c r="F112" s="8" t="str">
        <f aca="false">IF(100&lt;=$B$3,B112*D112,"")</f>
        <v/>
      </c>
      <c r="G112" s="7" t="str">
        <f aca="false">IF(100&lt;=$B$3,B112&amp;" x "&amp;D112&amp;" = ?","")</f>
        <v/>
      </c>
    </row>
    <row r="113" customFormat="false" ht="15" hidden="false" customHeight="false" outlineLevel="0" collapsed="false">
      <c r="A113" s="7" t="str">
        <f aca="false">IF(101&lt;=$B$3,101,"")</f>
        <v/>
      </c>
      <c r="B113" s="7" t="str">
        <f aca="false">IF(101&lt;=$B$3,IF($B$6="Aralık",RANDBETWEEN(MIN($B$4,$B$5),MAX($B$4,$B$5)),CHOOSE(RANDBETWEEN(1,2),$B$4,$B$5)),"")</f>
        <v/>
      </c>
      <c r="C113" s="7" t="str">
        <f aca="false">IF(101&lt;=$B$3,"x","")</f>
        <v/>
      </c>
      <c r="D113" s="7" t="str">
        <f aca="false">IF(101&lt;=$B$3,RANDBETWEEN(MIN($B$7,$B$8),MAX($B$7,$B$8)),"")</f>
        <v/>
      </c>
      <c r="E113" s="7" t="str">
        <f aca="false">IF(101&lt;=$B$3,"=","")</f>
        <v/>
      </c>
      <c r="F113" s="8" t="str">
        <f aca="false">IF(101&lt;=$B$3,B113*D113,"")</f>
        <v/>
      </c>
      <c r="G113" s="7" t="str">
        <f aca="false">IF(101&lt;=$B$3,B113&amp;" x "&amp;D113&amp;" = ?","")</f>
        <v/>
      </c>
    </row>
    <row r="114" customFormat="false" ht="15" hidden="false" customHeight="false" outlineLevel="0" collapsed="false">
      <c r="A114" s="7" t="str">
        <f aca="false">IF(102&lt;=$B$3,102,"")</f>
        <v/>
      </c>
      <c r="B114" s="7" t="str">
        <f aca="false">IF(102&lt;=$B$3,IF($B$6="Aralık",RANDBETWEEN(MIN($B$4,$B$5),MAX($B$4,$B$5)),CHOOSE(RANDBETWEEN(1,2),$B$4,$B$5)),"")</f>
        <v/>
      </c>
      <c r="C114" s="7" t="str">
        <f aca="false">IF(102&lt;=$B$3,"x","")</f>
        <v/>
      </c>
      <c r="D114" s="7" t="str">
        <f aca="false">IF(102&lt;=$B$3,RANDBETWEEN(MIN($B$7,$B$8),MAX($B$7,$B$8)),"")</f>
        <v/>
      </c>
      <c r="E114" s="7" t="str">
        <f aca="false">IF(102&lt;=$B$3,"=","")</f>
        <v/>
      </c>
      <c r="F114" s="8" t="str">
        <f aca="false">IF(102&lt;=$B$3,B114*D114,"")</f>
        <v/>
      </c>
      <c r="G114" s="7" t="str">
        <f aca="false">IF(102&lt;=$B$3,B114&amp;" x "&amp;D114&amp;" = ?","")</f>
        <v/>
      </c>
    </row>
    <row r="115" customFormat="false" ht="15" hidden="false" customHeight="false" outlineLevel="0" collapsed="false">
      <c r="A115" s="7" t="str">
        <f aca="false">IF(103&lt;=$B$3,103,"")</f>
        <v/>
      </c>
      <c r="B115" s="7" t="str">
        <f aca="false">IF(103&lt;=$B$3,IF($B$6="Aralık",RANDBETWEEN(MIN($B$4,$B$5),MAX($B$4,$B$5)),CHOOSE(RANDBETWEEN(1,2),$B$4,$B$5)),"")</f>
        <v/>
      </c>
      <c r="C115" s="7" t="str">
        <f aca="false">IF(103&lt;=$B$3,"x","")</f>
        <v/>
      </c>
      <c r="D115" s="7" t="str">
        <f aca="false">IF(103&lt;=$B$3,RANDBETWEEN(MIN($B$7,$B$8),MAX($B$7,$B$8)),"")</f>
        <v/>
      </c>
      <c r="E115" s="7" t="str">
        <f aca="false">IF(103&lt;=$B$3,"=","")</f>
        <v/>
      </c>
      <c r="F115" s="8" t="str">
        <f aca="false">IF(103&lt;=$B$3,B115*D115,"")</f>
        <v/>
      </c>
      <c r="G115" s="7" t="str">
        <f aca="false">IF(103&lt;=$B$3,B115&amp;" x "&amp;D115&amp;" = ?","")</f>
        <v/>
      </c>
    </row>
    <row r="116" customFormat="false" ht="15" hidden="false" customHeight="false" outlineLevel="0" collapsed="false">
      <c r="A116" s="7" t="str">
        <f aca="false">IF(104&lt;=$B$3,104,"")</f>
        <v/>
      </c>
      <c r="B116" s="7" t="str">
        <f aca="false">IF(104&lt;=$B$3,IF($B$6="Aralık",RANDBETWEEN(MIN($B$4,$B$5),MAX($B$4,$B$5)),CHOOSE(RANDBETWEEN(1,2),$B$4,$B$5)),"")</f>
        <v/>
      </c>
      <c r="C116" s="7" t="str">
        <f aca="false">IF(104&lt;=$B$3,"x","")</f>
        <v/>
      </c>
      <c r="D116" s="7" t="str">
        <f aca="false">IF(104&lt;=$B$3,RANDBETWEEN(MIN($B$7,$B$8),MAX($B$7,$B$8)),"")</f>
        <v/>
      </c>
      <c r="E116" s="7" t="str">
        <f aca="false">IF(104&lt;=$B$3,"=","")</f>
        <v/>
      </c>
      <c r="F116" s="8" t="str">
        <f aca="false">IF(104&lt;=$B$3,B116*D116,"")</f>
        <v/>
      </c>
      <c r="G116" s="7" t="str">
        <f aca="false">IF(104&lt;=$B$3,B116&amp;" x "&amp;D116&amp;" = ?","")</f>
        <v/>
      </c>
    </row>
    <row r="117" customFormat="false" ht="15" hidden="false" customHeight="false" outlineLevel="0" collapsed="false">
      <c r="A117" s="7" t="str">
        <f aca="false">IF(105&lt;=$B$3,105,"")</f>
        <v/>
      </c>
      <c r="B117" s="7" t="str">
        <f aca="false">IF(105&lt;=$B$3,IF($B$6="Aralık",RANDBETWEEN(MIN($B$4,$B$5),MAX($B$4,$B$5)),CHOOSE(RANDBETWEEN(1,2),$B$4,$B$5)),"")</f>
        <v/>
      </c>
      <c r="C117" s="7" t="str">
        <f aca="false">IF(105&lt;=$B$3,"x","")</f>
        <v/>
      </c>
      <c r="D117" s="7" t="str">
        <f aca="false">IF(105&lt;=$B$3,RANDBETWEEN(MIN($B$7,$B$8),MAX($B$7,$B$8)),"")</f>
        <v/>
      </c>
      <c r="E117" s="7" t="str">
        <f aca="false">IF(105&lt;=$B$3,"=","")</f>
        <v/>
      </c>
      <c r="F117" s="8" t="str">
        <f aca="false">IF(105&lt;=$B$3,B117*D117,"")</f>
        <v/>
      </c>
      <c r="G117" s="7" t="str">
        <f aca="false">IF(105&lt;=$B$3,B117&amp;" x "&amp;D117&amp;" = ?","")</f>
        <v/>
      </c>
    </row>
    <row r="118" customFormat="false" ht="15" hidden="false" customHeight="false" outlineLevel="0" collapsed="false">
      <c r="A118" s="7" t="str">
        <f aca="false">IF(106&lt;=$B$3,106,"")</f>
        <v/>
      </c>
      <c r="B118" s="7" t="str">
        <f aca="false">IF(106&lt;=$B$3,IF($B$6="Aralık",RANDBETWEEN(MIN($B$4,$B$5),MAX($B$4,$B$5)),CHOOSE(RANDBETWEEN(1,2),$B$4,$B$5)),"")</f>
        <v/>
      </c>
      <c r="C118" s="7" t="str">
        <f aca="false">IF(106&lt;=$B$3,"x","")</f>
        <v/>
      </c>
      <c r="D118" s="7" t="str">
        <f aca="false">IF(106&lt;=$B$3,RANDBETWEEN(MIN($B$7,$B$8),MAX($B$7,$B$8)),"")</f>
        <v/>
      </c>
      <c r="E118" s="7" t="str">
        <f aca="false">IF(106&lt;=$B$3,"=","")</f>
        <v/>
      </c>
      <c r="F118" s="8" t="str">
        <f aca="false">IF(106&lt;=$B$3,B118*D118,"")</f>
        <v/>
      </c>
      <c r="G118" s="7" t="str">
        <f aca="false">IF(106&lt;=$B$3,B118&amp;" x "&amp;D118&amp;" = ?","")</f>
        <v/>
      </c>
    </row>
    <row r="119" customFormat="false" ht="15" hidden="false" customHeight="false" outlineLevel="0" collapsed="false">
      <c r="A119" s="7" t="str">
        <f aca="false">IF(107&lt;=$B$3,107,"")</f>
        <v/>
      </c>
      <c r="B119" s="7" t="str">
        <f aca="false">IF(107&lt;=$B$3,IF($B$6="Aralık",RANDBETWEEN(MIN($B$4,$B$5),MAX($B$4,$B$5)),CHOOSE(RANDBETWEEN(1,2),$B$4,$B$5)),"")</f>
        <v/>
      </c>
      <c r="C119" s="7" t="str">
        <f aca="false">IF(107&lt;=$B$3,"x","")</f>
        <v/>
      </c>
      <c r="D119" s="7" t="str">
        <f aca="false">IF(107&lt;=$B$3,RANDBETWEEN(MIN($B$7,$B$8),MAX($B$7,$B$8)),"")</f>
        <v/>
      </c>
      <c r="E119" s="7" t="str">
        <f aca="false">IF(107&lt;=$B$3,"=","")</f>
        <v/>
      </c>
      <c r="F119" s="8" t="str">
        <f aca="false">IF(107&lt;=$B$3,B119*D119,"")</f>
        <v/>
      </c>
      <c r="G119" s="7" t="str">
        <f aca="false">IF(107&lt;=$B$3,B119&amp;" x "&amp;D119&amp;" = ?","")</f>
        <v/>
      </c>
    </row>
    <row r="120" customFormat="false" ht="15" hidden="false" customHeight="false" outlineLevel="0" collapsed="false">
      <c r="A120" s="7" t="str">
        <f aca="false">IF(108&lt;=$B$3,108,"")</f>
        <v/>
      </c>
      <c r="B120" s="7" t="str">
        <f aca="false">IF(108&lt;=$B$3,IF($B$6="Aralık",RANDBETWEEN(MIN($B$4,$B$5),MAX($B$4,$B$5)),CHOOSE(RANDBETWEEN(1,2),$B$4,$B$5)),"")</f>
        <v/>
      </c>
      <c r="C120" s="7" t="str">
        <f aca="false">IF(108&lt;=$B$3,"x","")</f>
        <v/>
      </c>
      <c r="D120" s="7" t="str">
        <f aca="false">IF(108&lt;=$B$3,RANDBETWEEN(MIN($B$7,$B$8),MAX($B$7,$B$8)),"")</f>
        <v/>
      </c>
      <c r="E120" s="7" t="str">
        <f aca="false">IF(108&lt;=$B$3,"=","")</f>
        <v/>
      </c>
      <c r="F120" s="8" t="str">
        <f aca="false">IF(108&lt;=$B$3,B120*D120,"")</f>
        <v/>
      </c>
      <c r="G120" s="7" t="str">
        <f aca="false">IF(108&lt;=$B$3,B120&amp;" x "&amp;D120&amp;" = ?","")</f>
        <v/>
      </c>
    </row>
    <row r="121" customFormat="false" ht="15" hidden="false" customHeight="false" outlineLevel="0" collapsed="false">
      <c r="A121" s="7" t="str">
        <f aca="false">IF(109&lt;=$B$3,109,"")</f>
        <v/>
      </c>
      <c r="B121" s="7" t="str">
        <f aca="false">IF(109&lt;=$B$3,IF($B$6="Aralık",RANDBETWEEN(MIN($B$4,$B$5),MAX($B$4,$B$5)),CHOOSE(RANDBETWEEN(1,2),$B$4,$B$5)),"")</f>
        <v/>
      </c>
      <c r="C121" s="7" t="str">
        <f aca="false">IF(109&lt;=$B$3,"x","")</f>
        <v/>
      </c>
      <c r="D121" s="7" t="str">
        <f aca="false">IF(109&lt;=$B$3,RANDBETWEEN(MIN($B$7,$B$8),MAX($B$7,$B$8)),"")</f>
        <v/>
      </c>
      <c r="E121" s="7" t="str">
        <f aca="false">IF(109&lt;=$B$3,"=","")</f>
        <v/>
      </c>
      <c r="F121" s="8" t="str">
        <f aca="false">IF(109&lt;=$B$3,B121*D121,"")</f>
        <v/>
      </c>
      <c r="G121" s="7" t="str">
        <f aca="false">IF(109&lt;=$B$3,B121&amp;" x "&amp;D121&amp;" = ?","")</f>
        <v/>
      </c>
    </row>
    <row r="122" customFormat="false" ht="15" hidden="false" customHeight="false" outlineLevel="0" collapsed="false">
      <c r="A122" s="7" t="str">
        <f aca="false">IF(110&lt;=$B$3,110,"")</f>
        <v/>
      </c>
      <c r="B122" s="7" t="str">
        <f aca="false">IF(110&lt;=$B$3,IF($B$6="Aralık",RANDBETWEEN(MIN($B$4,$B$5),MAX($B$4,$B$5)),CHOOSE(RANDBETWEEN(1,2),$B$4,$B$5)),"")</f>
        <v/>
      </c>
      <c r="C122" s="7" t="str">
        <f aca="false">IF(110&lt;=$B$3,"x","")</f>
        <v/>
      </c>
      <c r="D122" s="7" t="str">
        <f aca="false">IF(110&lt;=$B$3,RANDBETWEEN(MIN($B$7,$B$8),MAX($B$7,$B$8)),"")</f>
        <v/>
      </c>
      <c r="E122" s="7" t="str">
        <f aca="false">IF(110&lt;=$B$3,"=","")</f>
        <v/>
      </c>
      <c r="F122" s="8" t="str">
        <f aca="false">IF(110&lt;=$B$3,B122*D122,"")</f>
        <v/>
      </c>
      <c r="G122" s="7" t="str">
        <f aca="false">IF(110&lt;=$B$3,B122&amp;" x "&amp;D122&amp;" = ?","")</f>
        <v/>
      </c>
    </row>
    <row r="123" customFormat="false" ht="15" hidden="false" customHeight="false" outlineLevel="0" collapsed="false">
      <c r="A123" s="7" t="str">
        <f aca="false">IF(111&lt;=$B$3,111,"")</f>
        <v/>
      </c>
      <c r="B123" s="7" t="str">
        <f aca="false">IF(111&lt;=$B$3,IF($B$6="Aralık",RANDBETWEEN(MIN($B$4,$B$5),MAX($B$4,$B$5)),CHOOSE(RANDBETWEEN(1,2),$B$4,$B$5)),"")</f>
        <v/>
      </c>
      <c r="C123" s="7" t="str">
        <f aca="false">IF(111&lt;=$B$3,"x","")</f>
        <v/>
      </c>
      <c r="D123" s="7" t="str">
        <f aca="false">IF(111&lt;=$B$3,RANDBETWEEN(MIN($B$7,$B$8),MAX($B$7,$B$8)),"")</f>
        <v/>
      </c>
      <c r="E123" s="7" t="str">
        <f aca="false">IF(111&lt;=$B$3,"=","")</f>
        <v/>
      </c>
      <c r="F123" s="8" t="str">
        <f aca="false">IF(111&lt;=$B$3,B123*D123,"")</f>
        <v/>
      </c>
      <c r="G123" s="7" t="str">
        <f aca="false">IF(111&lt;=$B$3,B123&amp;" x "&amp;D123&amp;" = ?","")</f>
        <v/>
      </c>
    </row>
    <row r="124" customFormat="false" ht="15" hidden="false" customHeight="false" outlineLevel="0" collapsed="false">
      <c r="A124" s="7" t="str">
        <f aca="false">IF(112&lt;=$B$3,112,"")</f>
        <v/>
      </c>
      <c r="B124" s="7" t="str">
        <f aca="false">IF(112&lt;=$B$3,IF($B$6="Aralık",RANDBETWEEN(MIN($B$4,$B$5),MAX($B$4,$B$5)),CHOOSE(RANDBETWEEN(1,2),$B$4,$B$5)),"")</f>
        <v/>
      </c>
      <c r="C124" s="7" t="str">
        <f aca="false">IF(112&lt;=$B$3,"x","")</f>
        <v/>
      </c>
      <c r="D124" s="7" t="str">
        <f aca="false">IF(112&lt;=$B$3,RANDBETWEEN(MIN($B$7,$B$8),MAX($B$7,$B$8)),"")</f>
        <v/>
      </c>
      <c r="E124" s="7" t="str">
        <f aca="false">IF(112&lt;=$B$3,"=","")</f>
        <v/>
      </c>
      <c r="F124" s="8" t="str">
        <f aca="false">IF(112&lt;=$B$3,B124*D124,"")</f>
        <v/>
      </c>
      <c r="G124" s="7" t="str">
        <f aca="false">IF(112&lt;=$B$3,B124&amp;" x "&amp;D124&amp;" = ?","")</f>
        <v/>
      </c>
    </row>
    <row r="125" customFormat="false" ht="15" hidden="false" customHeight="false" outlineLevel="0" collapsed="false">
      <c r="A125" s="7" t="str">
        <f aca="false">IF(113&lt;=$B$3,113,"")</f>
        <v/>
      </c>
      <c r="B125" s="7" t="str">
        <f aca="false">IF(113&lt;=$B$3,IF($B$6="Aralık",RANDBETWEEN(MIN($B$4,$B$5),MAX($B$4,$B$5)),CHOOSE(RANDBETWEEN(1,2),$B$4,$B$5)),"")</f>
        <v/>
      </c>
      <c r="C125" s="7" t="str">
        <f aca="false">IF(113&lt;=$B$3,"x","")</f>
        <v/>
      </c>
      <c r="D125" s="7" t="str">
        <f aca="false">IF(113&lt;=$B$3,RANDBETWEEN(MIN($B$7,$B$8),MAX($B$7,$B$8)),"")</f>
        <v/>
      </c>
      <c r="E125" s="7" t="str">
        <f aca="false">IF(113&lt;=$B$3,"=","")</f>
        <v/>
      </c>
      <c r="F125" s="8" t="str">
        <f aca="false">IF(113&lt;=$B$3,B125*D125,"")</f>
        <v/>
      </c>
      <c r="G125" s="7" t="str">
        <f aca="false">IF(113&lt;=$B$3,B125&amp;" x "&amp;D125&amp;" = ?","")</f>
        <v/>
      </c>
    </row>
    <row r="126" customFormat="false" ht="15" hidden="false" customHeight="false" outlineLevel="0" collapsed="false">
      <c r="A126" s="7" t="str">
        <f aca="false">IF(114&lt;=$B$3,114,"")</f>
        <v/>
      </c>
      <c r="B126" s="7" t="str">
        <f aca="false">IF(114&lt;=$B$3,IF($B$6="Aralık",RANDBETWEEN(MIN($B$4,$B$5),MAX($B$4,$B$5)),CHOOSE(RANDBETWEEN(1,2),$B$4,$B$5)),"")</f>
        <v/>
      </c>
      <c r="C126" s="7" t="str">
        <f aca="false">IF(114&lt;=$B$3,"x","")</f>
        <v/>
      </c>
      <c r="D126" s="7" t="str">
        <f aca="false">IF(114&lt;=$B$3,RANDBETWEEN(MIN($B$7,$B$8),MAX($B$7,$B$8)),"")</f>
        <v/>
      </c>
      <c r="E126" s="7" t="str">
        <f aca="false">IF(114&lt;=$B$3,"=","")</f>
        <v/>
      </c>
      <c r="F126" s="8" t="str">
        <f aca="false">IF(114&lt;=$B$3,B126*D126,"")</f>
        <v/>
      </c>
      <c r="G126" s="7" t="str">
        <f aca="false">IF(114&lt;=$B$3,B126&amp;" x "&amp;D126&amp;" = ?","")</f>
        <v/>
      </c>
    </row>
    <row r="127" customFormat="false" ht="15" hidden="false" customHeight="false" outlineLevel="0" collapsed="false">
      <c r="A127" s="7" t="str">
        <f aca="false">IF(115&lt;=$B$3,115,"")</f>
        <v/>
      </c>
      <c r="B127" s="7" t="str">
        <f aca="false">IF(115&lt;=$B$3,IF($B$6="Aralık",RANDBETWEEN(MIN($B$4,$B$5),MAX($B$4,$B$5)),CHOOSE(RANDBETWEEN(1,2),$B$4,$B$5)),"")</f>
        <v/>
      </c>
      <c r="C127" s="7" t="str">
        <f aca="false">IF(115&lt;=$B$3,"x","")</f>
        <v/>
      </c>
      <c r="D127" s="7" t="str">
        <f aca="false">IF(115&lt;=$B$3,RANDBETWEEN(MIN($B$7,$B$8),MAX($B$7,$B$8)),"")</f>
        <v/>
      </c>
      <c r="E127" s="7" t="str">
        <f aca="false">IF(115&lt;=$B$3,"=","")</f>
        <v/>
      </c>
      <c r="F127" s="8" t="str">
        <f aca="false">IF(115&lt;=$B$3,B127*D127,"")</f>
        <v/>
      </c>
      <c r="G127" s="7" t="str">
        <f aca="false">IF(115&lt;=$B$3,B127&amp;" x "&amp;D127&amp;" = ?","")</f>
        <v/>
      </c>
    </row>
    <row r="128" customFormat="false" ht="15" hidden="false" customHeight="false" outlineLevel="0" collapsed="false">
      <c r="A128" s="7" t="str">
        <f aca="false">IF(116&lt;=$B$3,116,"")</f>
        <v/>
      </c>
      <c r="B128" s="7" t="str">
        <f aca="false">IF(116&lt;=$B$3,IF($B$6="Aralık",RANDBETWEEN(MIN($B$4,$B$5),MAX($B$4,$B$5)),CHOOSE(RANDBETWEEN(1,2),$B$4,$B$5)),"")</f>
        <v/>
      </c>
      <c r="C128" s="7" t="str">
        <f aca="false">IF(116&lt;=$B$3,"x","")</f>
        <v/>
      </c>
      <c r="D128" s="7" t="str">
        <f aca="false">IF(116&lt;=$B$3,RANDBETWEEN(MIN($B$7,$B$8),MAX($B$7,$B$8)),"")</f>
        <v/>
      </c>
      <c r="E128" s="7" t="str">
        <f aca="false">IF(116&lt;=$B$3,"=","")</f>
        <v/>
      </c>
      <c r="F128" s="8" t="str">
        <f aca="false">IF(116&lt;=$B$3,B128*D128,"")</f>
        <v/>
      </c>
      <c r="G128" s="7" t="str">
        <f aca="false">IF(116&lt;=$B$3,B128&amp;" x "&amp;D128&amp;" = ?","")</f>
        <v/>
      </c>
    </row>
    <row r="129" customFormat="false" ht="15" hidden="false" customHeight="false" outlineLevel="0" collapsed="false">
      <c r="A129" s="7" t="str">
        <f aca="false">IF(117&lt;=$B$3,117,"")</f>
        <v/>
      </c>
      <c r="B129" s="7" t="str">
        <f aca="false">IF(117&lt;=$B$3,IF($B$6="Aralık",RANDBETWEEN(MIN($B$4,$B$5),MAX($B$4,$B$5)),CHOOSE(RANDBETWEEN(1,2),$B$4,$B$5)),"")</f>
        <v/>
      </c>
      <c r="C129" s="7" t="str">
        <f aca="false">IF(117&lt;=$B$3,"x","")</f>
        <v/>
      </c>
      <c r="D129" s="7" t="str">
        <f aca="false">IF(117&lt;=$B$3,RANDBETWEEN(MIN($B$7,$B$8),MAX($B$7,$B$8)),"")</f>
        <v/>
      </c>
      <c r="E129" s="7" t="str">
        <f aca="false">IF(117&lt;=$B$3,"=","")</f>
        <v/>
      </c>
      <c r="F129" s="8" t="str">
        <f aca="false">IF(117&lt;=$B$3,B129*D129,"")</f>
        <v/>
      </c>
      <c r="G129" s="7" t="str">
        <f aca="false">IF(117&lt;=$B$3,B129&amp;" x "&amp;D129&amp;" = ?","")</f>
        <v/>
      </c>
    </row>
    <row r="130" customFormat="false" ht="15" hidden="false" customHeight="false" outlineLevel="0" collapsed="false">
      <c r="A130" s="7" t="str">
        <f aca="false">IF(118&lt;=$B$3,118,"")</f>
        <v/>
      </c>
      <c r="B130" s="7" t="str">
        <f aca="false">IF(118&lt;=$B$3,IF($B$6="Aralık",RANDBETWEEN(MIN($B$4,$B$5),MAX($B$4,$B$5)),CHOOSE(RANDBETWEEN(1,2),$B$4,$B$5)),"")</f>
        <v/>
      </c>
      <c r="C130" s="7" t="str">
        <f aca="false">IF(118&lt;=$B$3,"x","")</f>
        <v/>
      </c>
      <c r="D130" s="7" t="str">
        <f aca="false">IF(118&lt;=$B$3,RANDBETWEEN(MIN($B$7,$B$8),MAX($B$7,$B$8)),"")</f>
        <v/>
      </c>
      <c r="E130" s="7" t="str">
        <f aca="false">IF(118&lt;=$B$3,"=","")</f>
        <v/>
      </c>
      <c r="F130" s="8" t="str">
        <f aca="false">IF(118&lt;=$B$3,B130*D130,"")</f>
        <v/>
      </c>
      <c r="G130" s="7" t="str">
        <f aca="false">IF(118&lt;=$B$3,B130&amp;" x "&amp;D130&amp;" = ?","")</f>
        <v/>
      </c>
    </row>
    <row r="131" customFormat="false" ht="15" hidden="false" customHeight="false" outlineLevel="0" collapsed="false">
      <c r="A131" s="7" t="str">
        <f aca="false">IF(119&lt;=$B$3,119,"")</f>
        <v/>
      </c>
      <c r="B131" s="7" t="str">
        <f aca="false">IF(119&lt;=$B$3,IF($B$6="Aralık",RANDBETWEEN(MIN($B$4,$B$5),MAX($B$4,$B$5)),CHOOSE(RANDBETWEEN(1,2),$B$4,$B$5)),"")</f>
        <v/>
      </c>
      <c r="C131" s="7" t="str">
        <f aca="false">IF(119&lt;=$B$3,"x","")</f>
        <v/>
      </c>
      <c r="D131" s="7" t="str">
        <f aca="false">IF(119&lt;=$B$3,RANDBETWEEN(MIN($B$7,$B$8),MAX($B$7,$B$8)),"")</f>
        <v/>
      </c>
      <c r="E131" s="7" t="str">
        <f aca="false">IF(119&lt;=$B$3,"=","")</f>
        <v/>
      </c>
      <c r="F131" s="8" t="str">
        <f aca="false">IF(119&lt;=$B$3,B131*D131,"")</f>
        <v/>
      </c>
      <c r="G131" s="7" t="str">
        <f aca="false">IF(119&lt;=$B$3,B131&amp;" x "&amp;D131&amp;" = ?","")</f>
        <v/>
      </c>
    </row>
    <row r="132" customFormat="false" ht="15" hidden="false" customHeight="false" outlineLevel="0" collapsed="false">
      <c r="A132" s="7" t="str">
        <f aca="false">IF(120&lt;=$B$3,120,"")</f>
        <v/>
      </c>
      <c r="B132" s="7" t="str">
        <f aca="false">IF(120&lt;=$B$3,IF($B$6="Aralık",RANDBETWEEN(MIN($B$4,$B$5),MAX($B$4,$B$5)),CHOOSE(RANDBETWEEN(1,2),$B$4,$B$5)),"")</f>
        <v/>
      </c>
      <c r="C132" s="7" t="str">
        <f aca="false">IF(120&lt;=$B$3,"x","")</f>
        <v/>
      </c>
      <c r="D132" s="7" t="str">
        <f aca="false">IF(120&lt;=$B$3,RANDBETWEEN(MIN($B$7,$B$8),MAX($B$7,$B$8)),"")</f>
        <v/>
      </c>
      <c r="E132" s="7" t="str">
        <f aca="false">IF(120&lt;=$B$3,"=","")</f>
        <v/>
      </c>
      <c r="F132" s="8" t="str">
        <f aca="false">IF(120&lt;=$B$3,B132*D132,"")</f>
        <v/>
      </c>
      <c r="G132" s="7" t="str">
        <f aca="false">IF(120&lt;=$B$3,B132&amp;" x "&amp;D132&amp;" = ?","")</f>
        <v/>
      </c>
    </row>
    <row r="133" customFormat="false" ht="15" hidden="false" customHeight="false" outlineLevel="0" collapsed="false">
      <c r="A133" s="7" t="str">
        <f aca="false">IF(121&lt;=$B$3,121,"")</f>
        <v/>
      </c>
      <c r="B133" s="7" t="str">
        <f aca="false">IF(121&lt;=$B$3,IF($B$6="Aralık",RANDBETWEEN(MIN($B$4,$B$5),MAX($B$4,$B$5)),CHOOSE(RANDBETWEEN(1,2),$B$4,$B$5)),"")</f>
        <v/>
      </c>
      <c r="C133" s="7" t="str">
        <f aca="false">IF(121&lt;=$B$3,"x","")</f>
        <v/>
      </c>
      <c r="D133" s="7" t="str">
        <f aca="false">IF(121&lt;=$B$3,RANDBETWEEN(MIN($B$7,$B$8),MAX($B$7,$B$8)),"")</f>
        <v/>
      </c>
      <c r="E133" s="7" t="str">
        <f aca="false">IF(121&lt;=$B$3,"=","")</f>
        <v/>
      </c>
      <c r="F133" s="8" t="str">
        <f aca="false">IF(121&lt;=$B$3,B133*D133,"")</f>
        <v/>
      </c>
      <c r="G133" s="7" t="str">
        <f aca="false">IF(121&lt;=$B$3,B133&amp;" x "&amp;D133&amp;" = ?","")</f>
        <v/>
      </c>
    </row>
    <row r="134" customFormat="false" ht="15" hidden="false" customHeight="false" outlineLevel="0" collapsed="false">
      <c r="A134" s="7" t="str">
        <f aca="false">IF(122&lt;=$B$3,122,"")</f>
        <v/>
      </c>
      <c r="B134" s="7" t="str">
        <f aca="false">IF(122&lt;=$B$3,IF($B$6="Aralık",RANDBETWEEN(MIN($B$4,$B$5),MAX($B$4,$B$5)),CHOOSE(RANDBETWEEN(1,2),$B$4,$B$5)),"")</f>
        <v/>
      </c>
      <c r="C134" s="7" t="str">
        <f aca="false">IF(122&lt;=$B$3,"x","")</f>
        <v/>
      </c>
      <c r="D134" s="7" t="str">
        <f aca="false">IF(122&lt;=$B$3,RANDBETWEEN(MIN($B$7,$B$8),MAX($B$7,$B$8)),"")</f>
        <v/>
      </c>
      <c r="E134" s="7" t="str">
        <f aca="false">IF(122&lt;=$B$3,"=","")</f>
        <v/>
      </c>
      <c r="F134" s="8" t="str">
        <f aca="false">IF(122&lt;=$B$3,B134*D134,"")</f>
        <v/>
      </c>
      <c r="G134" s="7" t="str">
        <f aca="false">IF(122&lt;=$B$3,B134&amp;" x "&amp;D134&amp;" = ?","")</f>
        <v/>
      </c>
    </row>
    <row r="135" customFormat="false" ht="15" hidden="false" customHeight="false" outlineLevel="0" collapsed="false">
      <c r="A135" s="7" t="str">
        <f aca="false">IF(123&lt;=$B$3,123,"")</f>
        <v/>
      </c>
      <c r="B135" s="7" t="str">
        <f aca="false">IF(123&lt;=$B$3,IF($B$6="Aralık",RANDBETWEEN(MIN($B$4,$B$5),MAX($B$4,$B$5)),CHOOSE(RANDBETWEEN(1,2),$B$4,$B$5)),"")</f>
        <v/>
      </c>
      <c r="C135" s="7" t="str">
        <f aca="false">IF(123&lt;=$B$3,"x","")</f>
        <v/>
      </c>
      <c r="D135" s="7" t="str">
        <f aca="false">IF(123&lt;=$B$3,RANDBETWEEN(MIN($B$7,$B$8),MAX($B$7,$B$8)),"")</f>
        <v/>
      </c>
      <c r="E135" s="7" t="str">
        <f aca="false">IF(123&lt;=$B$3,"=","")</f>
        <v/>
      </c>
      <c r="F135" s="8" t="str">
        <f aca="false">IF(123&lt;=$B$3,B135*D135,"")</f>
        <v/>
      </c>
      <c r="G135" s="7" t="str">
        <f aca="false">IF(123&lt;=$B$3,B135&amp;" x "&amp;D135&amp;" = ?","")</f>
        <v/>
      </c>
    </row>
    <row r="136" customFormat="false" ht="15" hidden="false" customHeight="false" outlineLevel="0" collapsed="false">
      <c r="A136" s="7" t="str">
        <f aca="false">IF(124&lt;=$B$3,124,"")</f>
        <v/>
      </c>
      <c r="B136" s="7" t="str">
        <f aca="false">IF(124&lt;=$B$3,IF($B$6="Aralık",RANDBETWEEN(MIN($B$4,$B$5),MAX($B$4,$B$5)),CHOOSE(RANDBETWEEN(1,2),$B$4,$B$5)),"")</f>
        <v/>
      </c>
      <c r="C136" s="7" t="str">
        <f aca="false">IF(124&lt;=$B$3,"x","")</f>
        <v/>
      </c>
      <c r="D136" s="7" t="str">
        <f aca="false">IF(124&lt;=$B$3,RANDBETWEEN(MIN($B$7,$B$8),MAX($B$7,$B$8)),"")</f>
        <v/>
      </c>
      <c r="E136" s="7" t="str">
        <f aca="false">IF(124&lt;=$B$3,"=","")</f>
        <v/>
      </c>
      <c r="F136" s="8" t="str">
        <f aca="false">IF(124&lt;=$B$3,B136*D136,"")</f>
        <v/>
      </c>
      <c r="G136" s="7" t="str">
        <f aca="false">IF(124&lt;=$B$3,B136&amp;" x "&amp;D136&amp;" = ?","")</f>
        <v/>
      </c>
    </row>
    <row r="137" customFormat="false" ht="15" hidden="false" customHeight="false" outlineLevel="0" collapsed="false">
      <c r="A137" s="7" t="str">
        <f aca="false">IF(125&lt;=$B$3,125,"")</f>
        <v/>
      </c>
      <c r="B137" s="7" t="str">
        <f aca="false">IF(125&lt;=$B$3,IF($B$6="Aralık",RANDBETWEEN(MIN($B$4,$B$5),MAX($B$4,$B$5)),CHOOSE(RANDBETWEEN(1,2),$B$4,$B$5)),"")</f>
        <v/>
      </c>
      <c r="C137" s="7" t="str">
        <f aca="false">IF(125&lt;=$B$3,"x","")</f>
        <v/>
      </c>
      <c r="D137" s="7" t="str">
        <f aca="false">IF(125&lt;=$B$3,RANDBETWEEN(MIN($B$7,$B$8),MAX($B$7,$B$8)),"")</f>
        <v/>
      </c>
      <c r="E137" s="7" t="str">
        <f aca="false">IF(125&lt;=$B$3,"=","")</f>
        <v/>
      </c>
      <c r="F137" s="8" t="str">
        <f aca="false">IF(125&lt;=$B$3,B137*D137,"")</f>
        <v/>
      </c>
      <c r="G137" s="7" t="str">
        <f aca="false">IF(125&lt;=$B$3,B137&amp;" x "&amp;D137&amp;" = ?","")</f>
        <v/>
      </c>
    </row>
    <row r="138" customFormat="false" ht="15" hidden="false" customHeight="false" outlineLevel="0" collapsed="false">
      <c r="A138" s="7" t="str">
        <f aca="false">IF(126&lt;=$B$3,126,"")</f>
        <v/>
      </c>
      <c r="B138" s="7" t="str">
        <f aca="false">IF(126&lt;=$B$3,IF($B$6="Aralık",RANDBETWEEN(MIN($B$4,$B$5),MAX($B$4,$B$5)),CHOOSE(RANDBETWEEN(1,2),$B$4,$B$5)),"")</f>
        <v/>
      </c>
      <c r="C138" s="7" t="str">
        <f aca="false">IF(126&lt;=$B$3,"x","")</f>
        <v/>
      </c>
      <c r="D138" s="7" t="str">
        <f aca="false">IF(126&lt;=$B$3,RANDBETWEEN(MIN($B$7,$B$8),MAX($B$7,$B$8)),"")</f>
        <v/>
      </c>
      <c r="E138" s="7" t="str">
        <f aca="false">IF(126&lt;=$B$3,"=","")</f>
        <v/>
      </c>
      <c r="F138" s="8" t="str">
        <f aca="false">IF(126&lt;=$B$3,B138*D138,"")</f>
        <v/>
      </c>
      <c r="G138" s="7" t="str">
        <f aca="false">IF(126&lt;=$B$3,B138&amp;" x "&amp;D138&amp;" = ?","")</f>
        <v/>
      </c>
    </row>
    <row r="139" customFormat="false" ht="15" hidden="false" customHeight="false" outlineLevel="0" collapsed="false">
      <c r="A139" s="7" t="str">
        <f aca="false">IF(127&lt;=$B$3,127,"")</f>
        <v/>
      </c>
      <c r="B139" s="7" t="str">
        <f aca="false">IF(127&lt;=$B$3,IF($B$6="Aralık",RANDBETWEEN(MIN($B$4,$B$5),MAX($B$4,$B$5)),CHOOSE(RANDBETWEEN(1,2),$B$4,$B$5)),"")</f>
        <v/>
      </c>
      <c r="C139" s="7" t="str">
        <f aca="false">IF(127&lt;=$B$3,"x","")</f>
        <v/>
      </c>
      <c r="D139" s="7" t="str">
        <f aca="false">IF(127&lt;=$B$3,RANDBETWEEN(MIN($B$7,$B$8),MAX($B$7,$B$8)),"")</f>
        <v/>
      </c>
      <c r="E139" s="7" t="str">
        <f aca="false">IF(127&lt;=$B$3,"=","")</f>
        <v/>
      </c>
      <c r="F139" s="8" t="str">
        <f aca="false">IF(127&lt;=$B$3,B139*D139,"")</f>
        <v/>
      </c>
      <c r="G139" s="7" t="str">
        <f aca="false">IF(127&lt;=$B$3,B139&amp;" x "&amp;D139&amp;" = ?","")</f>
        <v/>
      </c>
    </row>
    <row r="140" customFormat="false" ht="15" hidden="false" customHeight="false" outlineLevel="0" collapsed="false">
      <c r="A140" s="7" t="str">
        <f aca="false">IF(128&lt;=$B$3,128,"")</f>
        <v/>
      </c>
      <c r="B140" s="7" t="str">
        <f aca="false">IF(128&lt;=$B$3,IF($B$6="Aralık",RANDBETWEEN(MIN($B$4,$B$5),MAX($B$4,$B$5)),CHOOSE(RANDBETWEEN(1,2),$B$4,$B$5)),"")</f>
        <v/>
      </c>
      <c r="C140" s="7" t="str">
        <f aca="false">IF(128&lt;=$B$3,"x","")</f>
        <v/>
      </c>
      <c r="D140" s="7" t="str">
        <f aca="false">IF(128&lt;=$B$3,RANDBETWEEN(MIN($B$7,$B$8),MAX($B$7,$B$8)),"")</f>
        <v/>
      </c>
      <c r="E140" s="7" t="str">
        <f aca="false">IF(128&lt;=$B$3,"=","")</f>
        <v/>
      </c>
      <c r="F140" s="8" t="str">
        <f aca="false">IF(128&lt;=$B$3,B140*D140,"")</f>
        <v/>
      </c>
      <c r="G140" s="7" t="str">
        <f aca="false">IF(128&lt;=$B$3,B140&amp;" x "&amp;D140&amp;" = ?","")</f>
        <v/>
      </c>
    </row>
    <row r="141" customFormat="false" ht="15" hidden="false" customHeight="false" outlineLevel="0" collapsed="false">
      <c r="A141" s="7" t="str">
        <f aca="false">IF(129&lt;=$B$3,129,"")</f>
        <v/>
      </c>
      <c r="B141" s="7" t="str">
        <f aca="false">IF(129&lt;=$B$3,IF($B$6="Aralık",RANDBETWEEN(MIN($B$4,$B$5),MAX($B$4,$B$5)),CHOOSE(RANDBETWEEN(1,2),$B$4,$B$5)),"")</f>
        <v/>
      </c>
      <c r="C141" s="7" t="str">
        <f aca="false">IF(129&lt;=$B$3,"x","")</f>
        <v/>
      </c>
      <c r="D141" s="7" t="str">
        <f aca="false">IF(129&lt;=$B$3,RANDBETWEEN(MIN($B$7,$B$8),MAX($B$7,$B$8)),"")</f>
        <v/>
      </c>
      <c r="E141" s="7" t="str">
        <f aca="false">IF(129&lt;=$B$3,"=","")</f>
        <v/>
      </c>
      <c r="F141" s="8" t="str">
        <f aca="false">IF(129&lt;=$B$3,B141*D141,"")</f>
        <v/>
      </c>
      <c r="G141" s="7" t="str">
        <f aca="false">IF(129&lt;=$B$3,B141&amp;" x "&amp;D141&amp;" = ?","")</f>
        <v/>
      </c>
    </row>
    <row r="142" customFormat="false" ht="15" hidden="false" customHeight="false" outlineLevel="0" collapsed="false">
      <c r="A142" s="7" t="str">
        <f aca="false">IF(130&lt;=$B$3,130,"")</f>
        <v/>
      </c>
      <c r="B142" s="7" t="str">
        <f aca="false">IF(130&lt;=$B$3,IF($B$6="Aralık",RANDBETWEEN(MIN($B$4,$B$5),MAX($B$4,$B$5)),CHOOSE(RANDBETWEEN(1,2),$B$4,$B$5)),"")</f>
        <v/>
      </c>
      <c r="C142" s="7" t="str">
        <f aca="false">IF(130&lt;=$B$3,"x","")</f>
        <v/>
      </c>
      <c r="D142" s="7" t="str">
        <f aca="false">IF(130&lt;=$B$3,RANDBETWEEN(MIN($B$7,$B$8),MAX($B$7,$B$8)),"")</f>
        <v/>
      </c>
      <c r="E142" s="7" t="str">
        <f aca="false">IF(130&lt;=$B$3,"=","")</f>
        <v/>
      </c>
      <c r="F142" s="8" t="str">
        <f aca="false">IF(130&lt;=$B$3,B142*D142,"")</f>
        <v/>
      </c>
      <c r="G142" s="7" t="str">
        <f aca="false">IF(130&lt;=$B$3,B142&amp;" x "&amp;D142&amp;" = ?","")</f>
        <v/>
      </c>
    </row>
    <row r="143" customFormat="false" ht="15" hidden="false" customHeight="false" outlineLevel="0" collapsed="false">
      <c r="A143" s="7" t="str">
        <f aca="false">IF(131&lt;=$B$3,131,"")</f>
        <v/>
      </c>
      <c r="B143" s="7" t="str">
        <f aca="false">IF(131&lt;=$B$3,IF($B$6="Aralık",RANDBETWEEN(MIN($B$4,$B$5),MAX($B$4,$B$5)),CHOOSE(RANDBETWEEN(1,2),$B$4,$B$5)),"")</f>
        <v/>
      </c>
      <c r="C143" s="7" t="str">
        <f aca="false">IF(131&lt;=$B$3,"x","")</f>
        <v/>
      </c>
      <c r="D143" s="7" t="str">
        <f aca="false">IF(131&lt;=$B$3,RANDBETWEEN(MIN($B$7,$B$8),MAX($B$7,$B$8)),"")</f>
        <v/>
      </c>
      <c r="E143" s="7" t="str">
        <f aca="false">IF(131&lt;=$B$3,"=","")</f>
        <v/>
      </c>
      <c r="F143" s="8" t="str">
        <f aca="false">IF(131&lt;=$B$3,B143*D143,"")</f>
        <v/>
      </c>
      <c r="G143" s="7" t="str">
        <f aca="false">IF(131&lt;=$B$3,B143&amp;" x "&amp;D143&amp;" = ?","")</f>
        <v/>
      </c>
    </row>
    <row r="144" customFormat="false" ht="15" hidden="false" customHeight="false" outlineLevel="0" collapsed="false">
      <c r="A144" s="7" t="str">
        <f aca="false">IF(132&lt;=$B$3,132,"")</f>
        <v/>
      </c>
      <c r="B144" s="7" t="str">
        <f aca="false">IF(132&lt;=$B$3,IF($B$6="Aralık",RANDBETWEEN(MIN($B$4,$B$5),MAX($B$4,$B$5)),CHOOSE(RANDBETWEEN(1,2),$B$4,$B$5)),"")</f>
        <v/>
      </c>
      <c r="C144" s="7" t="str">
        <f aca="false">IF(132&lt;=$B$3,"x","")</f>
        <v/>
      </c>
      <c r="D144" s="7" t="str">
        <f aca="false">IF(132&lt;=$B$3,RANDBETWEEN(MIN($B$7,$B$8),MAX($B$7,$B$8)),"")</f>
        <v/>
      </c>
      <c r="E144" s="7" t="str">
        <f aca="false">IF(132&lt;=$B$3,"=","")</f>
        <v/>
      </c>
      <c r="F144" s="8" t="str">
        <f aca="false">IF(132&lt;=$B$3,B144*D144,"")</f>
        <v/>
      </c>
      <c r="G144" s="7" t="str">
        <f aca="false">IF(132&lt;=$B$3,B144&amp;" x "&amp;D144&amp;" = ?","")</f>
        <v/>
      </c>
    </row>
    <row r="145" customFormat="false" ht="15" hidden="false" customHeight="false" outlineLevel="0" collapsed="false">
      <c r="A145" s="7" t="str">
        <f aca="false">IF(133&lt;=$B$3,133,"")</f>
        <v/>
      </c>
      <c r="B145" s="7" t="str">
        <f aca="false">IF(133&lt;=$B$3,IF($B$6="Aralık",RANDBETWEEN(MIN($B$4,$B$5),MAX($B$4,$B$5)),CHOOSE(RANDBETWEEN(1,2),$B$4,$B$5)),"")</f>
        <v/>
      </c>
      <c r="C145" s="7" t="str">
        <f aca="false">IF(133&lt;=$B$3,"x","")</f>
        <v/>
      </c>
      <c r="D145" s="7" t="str">
        <f aca="false">IF(133&lt;=$B$3,RANDBETWEEN(MIN($B$7,$B$8),MAX($B$7,$B$8)),"")</f>
        <v/>
      </c>
      <c r="E145" s="7" t="str">
        <f aca="false">IF(133&lt;=$B$3,"=","")</f>
        <v/>
      </c>
      <c r="F145" s="8" t="str">
        <f aca="false">IF(133&lt;=$B$3,B145*D145,"")</f>
        <v/>
      </c>
      <c r="G145" s="7" t="str">
        <f aca="false">IF(133&lt;=$B$3,B145&amp;" x "&amp;D145&amp;" = ?","")</f>
        <v/>
      </c>
    </row>
    <row r="146" customFormat="false" ht="15" hidden="false" customHeight="false" outlineLevel="0" collapsed="false">
      <c r="A146" s="7" t="str">
        <f aca="false">IF(134&lt;=$B$3,134,"")</f>
        <v/>
      </c>
      <c r="B146" s="7" t="str">
        <f aca="false">IF(134&lt;=$B$3,IF($B$6="Aralık",RANDBETWEEN(MIN($B$4,$B$5),MAX($B$4,$B$5)),CHOOSE(RANDBETWEEN(1,2),$B$4,$B$5)),"")</f>
        <v/>
      </c>
      <c r="C146" s="7" t="str">
        <f aca="false">IF(134&lt;=$B$3,"x","")</f>
        <v/>
      </c>
      <c r="D146" s="7" t="str">
        <f aca="false">IF(134&lt;=$B$3,RANDBETWEEN(MIN($B$7,$B$8),MAX($B$7,$B$8)),"")</f>
        <v/>
      </c>
      <c r="E146" s="7" t="str">
        <f aca="false">IF(134&lt;=$B$3,"=","")</f>
        <v/>
      </c>
      <c r="F146" s="8" t="str">
        <f aca="false">IF(134&lt;=$B$3,B146*D146,"")</f>
        <v/>
      </c>
      <c r="G146" s="7" t="str">
        <f aca="false">IF(134&lt;=$B$3,B146&amp;" x "&amp;D146&amp;" = ?","")</f>
        <v/>
      </c>
    </row>
    <row r="147" customFormat="false" ht="15" hidden="false" customHeight="false" outlineLevel="0" collapsed="false">
      <c r="A147" s="7" t="str">
        <f aca="false">IF(135&lt;=$B$3,135,"")</f>
        <v/>
      </c>
      <c r="B147" s="7" t="str">
        <f aca="false">IF(135&lt;=$B$3,IF($B$6="Aralık",RANDBETWEEN(MIN($B$4,$B$5),MAX($B$4,$B$5)),CHOOSE(RANDBETWEEN(1,2),$B$4,$B$5)),"")</f>
        <v/>
      </c>
      <c r="C147" s="7" t="str">
        <f aca="false">IF(135&lt;=$B$3,"x","")</f>
        <v/>
      </c>
      <c r="D147" s="7" t="str">
        <f aca="false">IF(135&lt;=$B$3,RANDBETWEEN(MIN($B$7,$B$8),MAX($B$7,$B$8)),"")</f>
        <v/>
      </c>
      <c r="E147" s="7" t="str">
        <f aca="false">IF(135&lt;=$B$3,"=","")</f>
        <v/>
      </c>
      <c r="F147" s="8" t="str">
        <f aca="false">IF(135&lt;=$B$3,B147*D147,"")</f>
        <v/>
      </c>
      <c r="G147" s="7" t="str">
        <f aca="false">IF(135&lt;=$B$3,B147&amp;" x "&amp;D147&amp;" = ?","")</f>
        <v/>
      </c>
    </row>
    <row r="148" customFormat="false" ht="15" hidden="false" customHeight="false" outlineLevel="0" collapsed="false">
      <c r="A148" s="7" t="str">
        <f aca="false">IF(136&lt;=$B$3,136,"")</f>
        <v/>
      </c>
      <c r="B148" s="7" t="str">
        <f aca="false">IF(136&lt;=$B$3,IF($B$6="Aralık",RANDBETWEEN(MIN($B$4,$B$5),MAX($B$4,$B$5)),CHOOSE(RANDBETWEEN(1,2),$B$4,$B$5)),"")</f>
        <v/>
      </c>
      <c r="C148" s="7" t="str">
        <f aca="false">IF(136&lt;=$B$3,"x","")</f>
        <v/>
      </c>
      <c r="D148" s="7" t="str">
        <f aca="false">IF(136&lt;=$B$3,RANDBETWEEN(MIN($B$7,$B$8),MAX($B$7,$B$8)),"")</f>
        <v/>
      </c>
      <c r="E148" s="7" t="str">
        <f aca="false">IF(136&lt;=$B$3,"=","")</f>
        <v/>
      </c>
      <c r="F148" s="8" t="str">
        <f aca="false">IF(136&lt;=$B$3,B148*D148,"")</f>
        <v/>
      </c>
      <c r="G148" s="7" t="str">
        <f aca="false">IF(136&lt;=$B$3,B148&amp;" x "&amp;D148&amp;" = ?","")</f>
        <v/>
      </c>
    </row>
    <row r="149" customFormat="false" ht="15" hidden="false" customHeight="false" outlineLevel="0" collapsed="false">
      <c r="A149" s="7" t="str">
        <f aca="false">IF(137&lt;=$B$3,137,"")</f>
        <v/>
      </c>
      <c r="B149" s="7" t="str">
        <f aca="false">IF(137&lt;=$B$3,IF($B$6="Aralık",RANDBETWEEN(MIN($B$4,$B$5),MAX($B$4,$B$5)),CHOOSE(RANDBETWEEN(1,2),$B$4,$B$5)),"")</f>
        <v/>
      </c>
      <c r="C149" s="7" t="str">
        <f aca="false">IF(137&lt;=$B$3,"x","")</f>
        <v/>
      </c>
      <c r="D149" s="7" t="str">
        <f aca="false">IF(137&lt;=$B$3,RANDBETWEEN(MIN($B$7,$B$8),MAX($B$7,$B$8)),"")</f>
        <v/>
      </c>
      <c r="E149" s="7" t="str">
        <f aca="false">IF(137&lt;=$B$3,"=","")</f>
        <v/>
      </c>
      <c r="F149" s="8" t="str">
        <f aca="false">IF(137&lt;=$B$3,B149*D149,"")</f>
        <v/>
      </c>
      <c r="G149" s="7" t="str">
        <f aca="false">IF(137&lt;=$B$3,B149&amp;" x "&amp;D149&amp;" = ?","")</f>
        <v/>
      </c>
    </row>
    <row r="150" customFormat="false" ht="15" hidden="false" customHeight="false" outlineLevel="0" collapsed="false">
      <c r="A150" s="7" t="str">
        <f aca="false">IF(138&lt;=$B$3,138,"")</f>
        <v/>
      </c>
      <c r="B150" s="7" t="str">
        <f aca="false">IF(138&lt;=$B$3,IF($B$6="Aralık",RANDBETWEEN(MIN($B$4,$B$5),MAX($B$4,$B$5)),CHOOSE(RANDBETWEEN(1,2),$B$4,$B$5)),"")</f>
        <v/>
      </c>
      <c r="C150" s="7" t="str">
        <f aca="false">IF(138&lt;=$B$3,"x","")</f>
        <v/>
      </c>
      <c r="D150" s="7" t="str">
        <f aca="false">IF(138&lt;=$B$3,RANDBETWEEN(MIN($B$7,$B$8),MAX($B$7,$B$8)),"")</f>
        <v/>
      </c>
      <c r="E150" s="7" t="str">
        <f aca="false">IF(138&lt;=$B$3,"=","")</f>
        <v/>
      </c>
      <c r="F150" s="8" t="str">
        <f aca="false">IF(138&lt;=$B$3,B150*D150,"")</f>
        <v/>
      </c>
      <c r="G150" s="7" t="str">
        <f aca="false">IF(138&lt;=$B$3,B150&amp;" x "&amp;D150&amp;" = ?","")</f>
        <v/>
      </c>
    </row>
    <row r="151" customFormat="false" ht="15" hidden="false" customHeight="false" outlineLevel="0" collapsed="false">
      <c r="A151" s="7" t="str">
        <f aca="false">IF(139&lt;=$B$3,139,"")</f>
        <v/>
      </c>
      <c r="B151" s="7" t="str">
        <f aca="false">IF(139&lt;=$B$3,IF($B$6="Aralık",RANDBETWEEN(MIN($B$4,$B$5),MAX($B$4,$B$5)),CHOOSE(RANDBETWEEN(1,2),$B$4,$B$5)),"")</f>
        <v/>
      </c>
      <c r="C151" s="7" t="str">
        <f aca="false">IF(139&lt;=$B$3,"x","")</f>
        <v/>
      </c>
      <c r="D151" s="7" t="str">
        <f aca="false">IF(139&lt;=$B$3,RANDBETWEEN(MIN($B$7,$B$8),MAX($B$7,$B$8)),"")</f>
        <v/>
      </c>
      <c r="E151" s="7" t="str">
        <f aca="false">IF(139&lt;=$B$3,"=","")</f>
        <v/>
      </c>
      <c r="F151" s="8" t="str">
        <f aca="false">IF(139&lt;=$B$3,B151*D151,"")</f>
        <v/>
      </c>
      <c r="G151" s="7" t="str">
        <f aca="false">IF(139&lt;=$B$3,B151&amp;" x "&amp;D151&amp;" = ?","")</f>
        <v/>
      </c>
    </row>
    <row r="152" customFormat="false" ht="15" hidden="false" customHeight="false" outlineLevel="0" collapsed="false">
      <c r="A152" s="7" t="str">
        <f aca="false">IF(140&lt;=$B$3,140,"")</f>
        <v/>
      </c>
      <c r="B152" s="7" t="str">
        <f aca="false">IF(140&lt;=$B$3,IF($B$6="Aralık",RANDBETWEEN(MIN($B$4,$B$5),MAX($B$4,$B$5)),CHOOSE(RANDBETWEEN(1,2),$B$4,$B$5)),"")</f>
        <v/>
      </c>
      <c r="C152" s="7" t="str">
        <f aca="false">IF(140&lt;=$B$3,"x","")</f>
        <v/>
      </c>
      <c r="D152" s="7" t="str">
        <f aca="false">IF(140&lt;=$B$3,RANDBETWEEN(MIN($B$7,$B$8),MAX($B$7,$B$8)),"")</f>
        <v/>
      </c>
      <c r="E152" s="7" t="str">
        <f aca="false">IF(140&lt;=$B$3,"=","")</f>
        <v/>
      </c>
      <c r="F152" s="8" t="str">
        <f aca="false">IF(140&lt;=$B$3,B152*D152,"")</f>
        <v/>
      </c>
      <c r="G152" s="7" t="str">
        <f aca="false">IF(140&lt;=$B$3,B152&amp;" x "&amp;D152&amp;" = ?","")</f>
        <v/>
      </c>
    </row>
    <row r="153" customFormat="false" ht="15" hidden="false" customHeight="false" outlineLevel="0" collapsed="false">
      <c r="A153" s="7" t="str">
        <f aca="false">IF(141&lt;=$B$3,141,"")</f>
        <v/>
      </c>
      <c r="B153" s="7" t="str">
        <f aca="false">IF(141&lt;=$B$3,IF($B$6="Aralık",RANDBETWEEN(MIN($B$4,$B$5),MAX($B$4,$B$5)),CHOOSE(RANDBETWEEN(1,2),$B$4,$B$5)),"")</f>
        <v/>
      </c>
      <c r="C153" s="7" t="str">
        <f aca="false">IF(141&lt;=$B$3,"x","")</f>
        <v/>
      </c>
      <c r="D153" s="7" t="str">
        <f aca="false">IF(141&lt;=$B$3,RANDBETWEEN(MIN($B$7,$B$8),MAX($B$7,$B$8)),"")</f>
        <v/>
      </c>
      <c r="E153" s="7" t="str">
        <f aca="false">IF(141&lt;=$B$3,"=","")</f>
        <v/>
      </c>
      <c r="F153" s="8" t="str">
        <f aca="false">IF(141&lt;=$B$3,B153*D153,"")</f>
        <v/>
      </c>
      <c r="G153" s="7" t="str">
        <f aca="false">IF(141&lt;=$B$3,B153&amp;" x "&amp;D153&amp;" = ?","")</f>
        <v/>
      </c>
    </row>
    <row r="154" customFormat="false" ht="15" hidden="false" customHeight="false" outlineLevel="0" collapsed="false">
      <c r="A154" s="7" t="str">
        <f aca="false">IF(142&lt;=$B$3,142,"")</f>
        <v/>
      </c>
      <c r="B154" s="7" t="str">
        <f aca="false">IF(142&lt;=$B$3,IF($B$6="Aralık",RANDBETWEEN(MIN($B$4,$B$5),MAX($B$4,$B$5)),CHOOSE(RANDBETWEEN(1,2),$B$4,$B$5)),"")</f>
        <v/>
      </c>
      <c r="C154" s="7" t="str">
        <f aca="false">IF(142&lt;=$B$3,"x","")</f>
        <v/>
      </c>
      <c r="D154" s="7" t="str">
        <f aca="false">IF(142&lt;=$B$3,RANDBETWEEN(MIN($B$7,$B$8),MAX($B$7,$B$8)),"")</f>
        <v/>
      </c>
      <c r="E154" s="7" t="str">
        <f aca="false">IF(142&lt;=$B$3,"=","")</f>
        <v/>
      </c>
      <c r="F154" s="8" t="str">
        <f aca="false">IF(142&lt;=$B$3,B154*D154,"")</f>
        <v/>
      </c>
      <c r="G154" s="7" t="str">
        <f aca="false">IF(142&lt;=$B$3,B154&amp;" x "&amp;D154&amp;" = ?","")</f>
        <v/>
      </c>
    </row>
    <row r="155" customFormat="false" ht="15" hidden="false" customHeight="false" outlineLevel="0" collapsed="false">
      <c r="A155" s="7" t="str">
        <f aca="false">IF(143&lt;=$B$3,143,"")</f>
        <v/>
      </c>
      <c r="B155" s="7" t="str">
        <f aca="false">IF(143&lt;=$B$3,IF($B$6="Aralık",RANDBETWEEN(MIN($B$4,$B$5),MAX($B$4,$B$5)),CHOOSE(RANDBETWEEN(1,2),$B$4,$B$5)),"")</f>
        <v/>
      </c>
      <c r="C155" s="7" t="str">
        <f aca="false">IF(143&lt;=$B$3,"x","")</f>
        <v/>
      </c>
      <c r="D155" s="7" t="str">
        <f aca="false">IF(143&lt;=$B$3,RANDBETWEEN(MIN($B$7,$B$8),MAX($B$7,$B$8)),"")</f>
        <v/>
      </c>
      <c r="E155" s="7" t="str">
        <f aca="false">IF(143&lt;=$B$3,"=","")</f>
        <v/>
      </c>
      <c r="F155" s="8" t="str">
        <f aca="false">IF(143&lt;=$B$3,B155*D155,"")</f>
        <v/>
      </c>
      <c r="G155" s="7" t="str">
        <f aca="false">IF(143&lt;=$B$3,B155&amp;" x "&amp;D155&amp;" = ?","")</f>
        <v/>
      </c>
    </row>
    <row r="156" customFormat="false" ht="15" hidden="false" customHeight="false" outlineLevel="0" collapsed="false">
      <c r="A156" s="7" t="str">
        <f aca="false">IF(144&lt;=$B$3,144,"")</f>
        <v/>
      </c>
      <c r="B156" s="7" t="str">
        <f aca="false">IF(144&lt;=$B$3,IF($B$6="Aralık",RANDBETWEEN(MIN($B$4,$B$5),MAX($B$4,$B$5)),CHOOSE(RANDBETWEEN(1,2),$B$4,$B$5)),"")</f>
        <v/>
      </c>
      <c r="C156" s="7" t="str">
        <f aca="false">IF(144&lt;=$B$3,"x","")</f>
        <v/>
      </c>
      <c r="D156" s="7" t="str">
        <f aca="false">IF(144&lt;=$B$3,RANDBETWEEN(MIN($B$7,$B$8),MAX($B$7,$B$8)),"")</f>
        <v/>
      </c>
      <c r="E156" s="7" t="str">
        <f aca="false">IF(144&lt;=$B$3,"=","")</f>
        <v/>
      </c>
      <c r="F156" s="8" t="str">
        <f aca="false">IF(144&lt;=$B$3,B156*D156,"")</f>
        <v/>
      </c>
      <c r="G156" s="7" t="str">
        <f aca="false">IF(144&lt;=$B$3,B156&amp;" x "&amp;D156&amp;" = ?","")</f>
        <v/>
      </c>
    </row>
    <row r="157" customFormat="false" ht="15" hidden="false" customHeight="false" outlineLevel="0" collapsed="false">
      <c r="A157" s="7" t="str">
        <f aca="false">IF(145&lt;=$B$3,145,"")</f>
        <v/>
      </c>
      <c r="B157" s="7" t="str">
        <f aca="false">IF(145&lt;=$B$3,IF($B$6="Aralık",RANDBETWEEN(MIN($B$4,$B$5),MAX($B$4,$B$5)),CHOOSE(RANDBETWEEN(1,2),$B$4,$B$5)),"")</f>
        <v/>
      </c>
      <c r="C157" s="7" t="str">
        <f aca="false">IF(145&lt;=$B$3,"x","")</f>
        <v/>
      </c>
      <c r="D157" s="7" t="str">
        <f aca="false">IF(145&lt;=$B$3,RANDBETWEEN(MIN($B$7,$B$8),MAX($B$7,$B$8)),"")</f>
        <v/>
      </c>
      <c r="E157" s="7" t="str">
        <f aca="false">IF(145&lt;=$B$3,"=","")</f>
        <v/>
      </c>
      <c r="F157" s="8" t="str">
        <f aca="false">IF(145&lt;=$B$3,B157*D157,"")</f>
        <v/>
      </c>
      <c r="G157" s="7" t="str">
        <f aca="false">IF(145&lt;=$B$3,B157&amp;" x "&amp;D157&amp;" = ?","")</f>
        <v/>
      </c>
    </row>
    <row r="158" customFormat="false" ht="15" hidden="false" customHeight="false" outlineLevel="0" collapsed="false">
      <c r="A158" s="7" t="str">
        <f aca="false">IF(146&lt;=$B$3,146,"")</f>
        <v/>
      </c>
      <c r="B158" s="7" t="str">
        <f aca="false">IF(146&lt;=$B$3,IF($B$6="Aralık",RANDBETWEEN(MIN($B$4,$B$5),MAX($B$4,$B$5)),CHOOSE(RANDBETWEEN(1,2),$B$4,$B$5)),"")</f>
        <v/>
      </c>
      <c r="C158" s="7" t="str">
        <f aca="false">IF(146&lt;=$B$3,"x","")</f>
        <v/>
      </c>
      <c r="D158" s="7" t="str">
        <f aca="false">IF(146&lt;=$B$3,RANDBETWEEN(MIN($B$7,$B$8),MAX($B$7,$B$8)),"")</f>
        <v/>
      </c>
      <c r="E158" s="7" t="str">
        <f aca="false">IF(146&lt;=$B$3,"=","")</f>
        <v/>
      </c>
      <c r="F158" s="8" t="str">
        <f aca="false">IF(146&lt;=$B$3,B158*D158,"")</f>
        <v/>
      </c>
      <c r="G158" s="7" t="str">
        <f aca="false">IF(146&lt;=$B$3,B158&amp;" x "&amp;D158&amp;" = ?","")</f>
        <v/>
      </c>
    </row>
    <row r="159" customFormat="false" ht="15" hidden="false" customHeight="false" outlineLevel="0" collapsed="false">
      <c r="A159" s="7" t="str">
        <f aca="false">IF(147&lt;=$B$3,147,"")</f>
        <v/>
      </c>
      <c r="B159" s="7" t="str">
        <f aca="false">IF(147&lt;=$B$3,IF($B$6="Aralık",RANDBETWEEN(MIN($B$4,$B$5),MAX($B$4,$B$5)),CHOOSE(RANDBETWEEN(1,2),$B$4,$B$5)),"")</f>
        <v/>
      </c>
      <c r="C159" s="7" t="str">
        <f aca="false">IF(147&lt;=$B$3,"x","")</f>
        <v/>
      </c>
      <c r="D159" s="7" t="str">
        <f aca="false">IF(147&lt;=$B$3,RANDBETWEEN(MIN($B$7,$B$8),MAX($B$7,$B$8)),"")</f>
        <v/>
      </c>
      <c r="E159" s="7" t="str">
        <f aca="false">IF(147&lt;=$B$3,"=","")</f>
        <v/>
      </c>
      <c r="F159" s="8" t="str">
        <f aca="false">IF(147&lt;=$B$3,B159*D159,"")</f>
        <v/>
      </c>
      <c r="G159" s="7" t="str">
        <f aca="false">IF(147&lt;=$B$3,B159&amp;" x "&amp;D159&amp;" = ?","")</f>
        <v/>
      </c>
    </row>
    <row r="160" customFormat="false" ht="15" hidden="false" customHeight="false" outlineLevel="0" collapsed="false">
      <c r="A160" s="7" t="str">
        <f aca="false">IF(148&lt;=$B$3,148,"")</f>
        <v/>
      </c>
      <c r="B160" s="7" t="str">
        <f aca="false">IF(148&lt;=$B$3,IF($B$6="Aralık",RANDBETWEEN(MIN($B$4,$B$5),MAX($B$4,$B$5)),CHOOSE(RANDBETWEEN(1,2),$B$4,$B$5)),"")</f>
        <v/>
      </c>
      <c r="C160" s="7" t="str">
        <f aca="false">IF(148&lt;=$B$3,"x","")</f>
        <v/>
      </c>
      <c r="D160" s="7" t="str">
        <f aca="false">IF(148&lt;=$B$3,RANDBETWEEN(MIN($B$7,$B$8),MAX($B$7,$B$8)),"")</f>
        <v/>
      </c>
      <c r="E160" s="7" t="str">
        <f aca="false">IF(148&lt;=$B$3,"=","")</f>
        <v/>
      </c>
      <c r="F160" s="8" t="str">
        <f aca="false">IF(148&lt;=$B$3,B160*D160,"")</f>
        <v/>
      </c>
      <c r="G160" s="7" t="str">
        <f aca="false">IF(148&lt;=$B$3,B160&amp;" x "&amp;D160&amp;" = ?","")</f>
        <v/>
      </c>
    </row>
    <row r="161" customFormat="false" ht="15" hidden="false" customHeight="false" outlineLevel="0" collapsed="false">
      <c r="A161" s="7" t="str">
        <f aca="false">IF(149&lt;=$B$3,149,"")</f>
        <v/>
      </c>
      <c r="B161" s="7" t="str">
        <f aca="false">IF(149&lt;=$B$3,IF($B$6="Aralık",RANDBETWEEN(MIN($B$4,$B$5),MAX($B$4,$B$5)),CHOOSE(RANDBETWEEN(1,2),$B$4,$B$5)),"")</f>
        <v/>
      </c>
      <c r="C161" s="7" t="str">
        <f aca="false">IF(149&lt;=$B$3,"x","")</f>
        <v/>
      </c>
      <c r="D161" s="7" t="str">
        <f aca="false">IF(149&lt;=$B$3,RANDBETWEEN(MIN($B$7,$B$8),MAX($B$7,$B$8)),"")</f>
        <v/>
      </c>
      <c r="E161" s="7" t="str">
        <f aca="false">IF(149&lt;=$B$3,"=","")</f>
        <v/>
      </c>
      <c r="F161" s="8" t="str">
        <f aca="false">IF(149&lt;=$B$3,B161*D161,"")</f>
        <v/>
      </c>
      <c r="G161" s="7" t="str">
        <f aca="false">IF(149&lt;=$B$3,B161&amp;" x "&amp;D161&amp;" = ?","")</f>
        <v/>
      </c>
    </row>
    <row r="162" customFormat="false" ht="15" hidden="false" customHeight="false" outlineLevel="0" collapsed="false">
      <c r="A162" s="7" t="str">
        <f aca="false">IF(150&lt;=$B$3,150,"")</f>
        <v/>
      </c>
      <c r="B162" s="7" t="str">
        <f aca="false">IF(150&lt;=$B$3,IF($B$6="Aralık",RANDBETWEEN(MIN($B$4,$B$5),MAX($B$4,$B$5)),CHOOSE(RANDBETWEEN(1,2),$B$4,$B$5)),"")</f>
        <v/>
      </c>
      <c r="C162" s="7" t="str">
        <f aca="false">IF(150&lt;=$B$3,"x","")</f>
        <v/>
      </c>
      <c r="D162" s="7" t="str">
        <f aca="false">IF(150&lt;=$B$3,RANDBETWEEN(MIN($B$7,$B$8),MAX($B$7,$B$8)),"")</f>
        <v/>
      </c>
      <c r="E162" s="7" t="str">
        <f aca="false">IF(150&lt;=$B$3,"=","")</f>
        <v/>
      </c>
      <c r="F162" s="8" t="str">
        <f aca="false">IF(150&lt;=$B$3,B162*D162,"")</f>
        <v/>
      </c>
      <c r="G162" s="7" t="str">
        <f aca="false">IF(150&lt;=$B$3,B162&amp;" x "&amp;D162&amp;" = ?","")</f>
        <v/>
      </c>
    </row>
    <row r="163" customFormat="false" ht="15" hidden="false" customHeight="false" outlineLevel="0" collapsed="false">
      <c r="A163" s="7" t="str">
        <f aca="false">IF(151&lt;=$B$3,151,"")</f>
        <v/>
      </c>
      <c r="B163" s="7" t="str">
        <f aca="false">IF(151&lt;=$B$3,IF($B$6="Aralık",RANDBETWEEN(MIN($B$4,$B$5),MAX($B$4,$B$5)),CHOOSE(RANDBETWEEN(1,2),$B$4,$B$5)),"")</f>
        <v/>
      </c>
      <c r="C163" s="7" t="str">
        <f aca="false">IF(151&lt;=$B$3,"x","")</f>
        <v/>
      </c>
      <c r="D163" s="7" t="str">
        <f aca="false">IF(151&lt;=$B$3,RANDBETWEEN(MIN($B$7,$B$8),MAX($B$7,$B$8)),"")</f>
        <v/>
      </c>
      <c r="E163" s="7" t="str">
        <f aca="false">IF(151&lt;=$B$3,"=","")</f>
        <v/>
      </c>
      <c r="F163" s="8" t="str">
        <f aca="false">IF(151&lt;=$B$3,B163*D163,"")</f>
        <v/>
      </c>
      <c r="G163" s="7" t="str">
        <f aca="false">IF(151&lt;=$B$3,B163&amp;" x "&amp;D163&amp;" = ?","")</f>
        <v/>
      </c>
    </row>
    <row r="164" customFormat="false" ht="15" hidden="false" customHeight="false" outlineLevel="0" collapsed="false">
      <c r="A164" s="7" t="str">
        <f aca="false">IF(152&lt;=$B$3,152,"")</f>
        <v/>
      </c>
      <c r="B164" s="7" t="str">
        <f aca="false">IF(152&lt;=$B$3,IF($B$6="Aralık",RANDBETWEEN(MIN($B$4,$B$5),MAX($B$4,$B$5)),CHOOSE(RANDBETWEEN(1,2),$B$4,$B$5)),"")</f>
        <v/>
      </c>
      <c r="C164" s="7" t="str">
        <f aca="false">IF(152&lt;=$B$3,"x","")</f>
        <v/>
      </c>
      <c r="D164" s="7" t="str">
        <f aca="false">IF(152&lt;=$B$3,RANDBETWEEN(MIN($B$7,$B$8),MAX($B$7,$B$8)),"")</f>
        <v/>
      </c>
      <c r="E164" s="7" t="str">
        <f aca="false">IF(152&lt;=$B$3,"=","")</f>
        <v/>
      </c>
      <c r="F164" s="8" t="str">
        <f aca="false">IF(152&lt;=$B$3,B164*D164,"")</f>
        <v/>
      </c>
      <c r="G164" s="7" t="str">
        <f aca="false">IF(152&lt;=$B$3,B164&amp;" x "&amp;D164&amp;" = ?","")</f>
        <v/>
      </c>
    </row>
    <row r="165" customFormat="false" ht="15" hidden="false" customHeight="false" outlineLevel="0" collapsed="false">
      <c r="A165" s="7" t="str">
        <f aca="false">IF(153&lt;=$B$3,153,"")</f>
        <v/>
      </c>
      <c r="B165" s="7" t="str">
        <f aca="false">IF(153&lt;=$B$3,IF($B$6="Aralık",RANDBETWEEN(MIN($B$4,$B$5),MAX($B$4,$B$5)),CHOOSE(RANDBETWEEN(1,2),$B$4,$B$5)),"")</f>
        <v/>
      </c>
      <c r="C165" s="7" t="str">
        <f aca="false">IF(153&lt;=$B$3,"x","")</f>
        <v/>
      </c>
      <c r="D165" s="7" t="str">
        <f aca="false">IF(153&lt;=$B$3,RANDBETWEEN(MIN($B$7,$B$8),MAX($B$7,$B$8)),"")</f>
        <v/>
      </c>
      <c r="E165" s="7" t="str">
        <f aca="false">IF(153&lt;=$B$3,"=","")</f>
        <v/>
      </c>
      <c r="F165" s="8" t="str">
        <f aca="false">IF(153&lt;=$B$3,B165*D165,"")</f>
        <v/>
      </c>
      <c r="G165" s="7" t="str">
        <f aca="false">IF(153&lt;=$B$3,B165&amp;" x "&amp;D165&amp;" = ?","")</f>
        <v/>
      </c>
    </row>
    <row r="166" customFormat="false" ht="15" hidden="false" customHeight="false" outlineLevel="0" collapsed="false">
      <c r="A166" s="7" t="str">
        <f aca="false">IF(154&lt;=$B$3,154,"")</f>
        <v/>
      </c>
      <c r="B166" s="7" t="str">
        <f aca="false">IF(154&lt;=$B$3,IF($B$6="Aralık",RANDBETWEEN(MIN($B$4,$B$5),MAX($B$4,$B$5)),CHOOSE(RANDBETWEEN(1,2),$B$4,$B$5)),"")</f>
        <v/>
      </c>
      <c r="C166" s="7" t="str">
        <f aca="false">IF(154&lt;=$B$3,"x","")</f>
        <v/>
      </c>
      <c r="D166" s="7" t="str">
        <f aca="false">IF(154&lt;=$B$3,RANDBETWEEN(MIN($B$7,$B$8),MAX($B$7,$B$8)),"")</f>
        <v/>
      </c>
      <c r="E166" s="7" t="str">
        <f aca="false">IF(154&lt;=$B$3,"=","")</f>
        <v/>
      </c>
      <c r="F166" s="8" t="str">
        <f aca="false">IF(154&lt;=$B$3,B166*D166,"")</f>
        <v/>
      </c>
      <c r="G166" s="7" t="str">
        <f aca="false">IF(154&lt;=$B$3,B166&amp;" x "&amp;D166&amp;" = ?","")</f>
        <v/>
      </c>
    </row>
    <row r="167" customFormat="false" ht="15" hidden="false" customHeight="false" outlineLevel="0" collapsed="false">
      <c r="A167" s="7" t="str">
        <f aca="false">IF(155&lt;=$B$3,155,"")</f>
        <v/>
      </c>
      <c r="B167" s="7" t="str">
        <f aca="false">IF(155&lt;=$B$3,IF($B$6="Aralık",RANDBETWEEN(MIN($B$4,$B$5),MAX($B$4,$B$5)),CHOOSE(RANDBETWEEN(1,2),$B$4,$B$5)),"")</f>
        <v/>
      </c>
      <c r="C167" s="7" t="str">
        <f aca="false">IF(155&lt;=$B$3,"x","")</f>
        <v/>
      </c>
      <c r="D167" s="7" t="str">
        <f aca="false">IF(155&lt;=$B$3,RANDBETWEEN(MIN($B$7,$B$8),MAX($B$7,$B$8)),"")</f>
        <v/>
      </c>
      <c r="E167" s="7" t="str">
        <f aca="false">IF(155&lt;=$B$3,"=","")</f>
        <v/>
      </c>
      <c r="F167" s="8" t="str">
        <f aca="false">IF(155&lt;=$B$3,B167*D167,"")</f>
        <v/>
      </c>
      <c r="G167" s="7" t="str">
        <f aca="false">IF(155&lt;=$B$3,B167&amp;" x "&amp;D167&amp;" = ?","")</f>
        <v/>
      </c>
    </row>
    <row r="168" customFormat="false" ht="15" hidden="false" customHeight="false" outlineLevel="0" collapsed="false">
      <c r="A168" s="7" t="str">
        <f aca="false">IF(156&lt;=$B$3,156,"")</f>
        <v/>
      </c>
      <c r="B168" s="7" t="str">
        <f aca="false">IF(156&lt;=$B$3,IF($B$6="Aralık",RANDBETWEEN(MIN($B$4,$B$5),MAX($B$4,$B$5)),CHOOSE(RANDBETWEEN(1,2),$B$4,$B$5)),"")</f>
        <v/>
      </c>
      <c r="C168" s="7" t="str">
        <f aca="false">IF(156&lt;=$B$3,"x","")</f>
        <v/>
      </c>
      <c r="D168" s="7" t="str">
        <f aca="false">IF(156&lt;=$B$3,RANDBETWEEN(MIN($B$7,$B$8),MAX($B$7,$B$8)),"")</f>
        <v/>
      </c>
      <c r="E168" s="7" t="str">
        <f aca="false">IF(156&lt;=$B$3,"=","")</f>
        <v/>
      </c>
      <c r="F168" s="8" t="str">
        <f aca="false">IF(156&lt;=$B$3,B168*D168,"")</f>
        <v/>
      </c>
      <c r="G168" s="7" t="str">
        <f aca="false">IF(156&lt;=$B$3,B168&amp;" x "&amp;D168&amp;" = ?","")</f>
        <v/>
      </c>
    </row>
    <row r="169" customFormat="false" ht="15" hidden="false" customHeight="false" outlineLevel="0" collapsed="false">
      <c r="A169" s="7" t="str">
        <f aca="false">IF(157&lt;=$B$3,157,"")</f>
        <v/>
      </c>
      <c r="B169" s="7" t="str">
        <f aca="false">IF(157&lt;=$B$3,IF($B$6="Aralık",RANDBETWEEN(MIN($B$4,$B$5),MAX($B$4,$B$5)),CHOOSE(RANDBETWEEN(1,2),$B$4,$B$5)),"")</f>
        <v/>
      </c>
      <c r="C169" s="7" t="str">
        <f aca="false">IF(157&lt;=$B$3,"x","")</f>
        <v/>
      </c>
      <c r="D169" s="7" t="str">
        <f aca="false">IF(157&lt;=$B$3,RANDBETWEEN(MIN($B$7,$B$8),MAX($B$7,$B$8)),"")</f>
        <v/>
      </c>
      <c r="E169" s="7" t="str">
        <f aca="false">IF(157&lt;=$B$3,"=","")</f>
        <v/>
      </c>
      <c r="F169" s="8" t="str">
        <f aca="false">IF(157&lt;=$B$3,B169*D169,"")</f>
        <v/>
      </c>
      <c r="G169" s="7" t="str">
        <f aca="false">IF(157&lt;=$B$3,B169&amp;" x "&amp;D169&amp;" = ?","")</f>
        <v/>
      </c>
    </row>
    <row r="170" customFormat="false" ht="15" hidden="false" customHeight="false" outlineLevel="0" collapsed="false">
      <c r="A170" s="7" t="str">
        <f aca="false">IF(158&lt;=$B$3,158,"")</f>
        <v/>
      </c>
      <c r="B170" s="7" t="str">
        <f aca="false">IF(158&lt;=$B$3,IF($B$6="Aralık",RANDBETWEEN(MIN($B$4,$B$5),MAX($B$4,$B$5)),CHOOSE(RANDBETWEEN(1,2),$B$4,$B$5)),"")</f>
        <v/>
      </c>
      <c r="C170" s="7" t="str">
        <f aca="false">IF(158&lt;=$B$3,"x","")</f>
        <v/>
      </c>
      <c r="D170" s="7" t="str">
        <f aca="false">IF(158&lt;=$B$3,RANDBETWEEN(MIN($B$7,$B$8),MAX($B$7,$B$8)),"")</f>
        <v/>
      </c>
      <c r="E170" s="7" t="str">
        <f aca="false">IF(158&lt;=$B$3,"=","")</f>
        <v/>
      </c>
      <c r="F170" s="8" t="str">
        <f aca="false">IF(158&lt;=$B$3,B170*D170,"")</f>
        <v/>
      </c>
      <c r="G170" s="7" t="str">
        <f aca="false">IF(158&lt;=$B$3,B170&amp;" x "&amp;D170&amp;" = ?","")</f>
        <v/>
      </c>
    </row>
    <row r="171" customFormat="false" ht="15" hidden="false" customHeight="false" outlineLevel="0" collapsed="false">
      <c r="A171" s="7" t="str">
        <f aca="false">IF(159&lt;=$B$3,159,"")</f>
        <v/>
      </c>
      <c r="B171" s="7" t="str">
        <f aca="false">IF(159&lt;=$B$3,IF($B$6="Aralık",RANDBETWEEN(MIN($B$4,$B$5),MAX($B$4,$B$5)),CHOOSE(RANDBETWEEN(1,2),$B$4,$B$5)),"")</f>
        <v/>
      </c>
      <c r="C171" s="7" t="str">
        <f aca="false">IF(159&lt;=$B$3,"x","")</f>
        <v/>
      </c>
      <c r="D171" s="7" t="str">
        <f aca="false">IF(159&lt;=$B$3,RANDBETWEEN(MIN($B$7,$B$8),MAX($B$7,$B$8)),"")</f>
        <v/>
      </c>
      <c r="E171" s="7" t="str">
        <f aca="false">IF(159&lt;=$B$3,"=","")</f>
        <v/>
      </c>
      <c r="F171" s="8" t="str">
        <f aca="false">IF(159&lt;=$B$3,B171*D171,"")</f>
        <v/>
      </c>
      <c r="G171" s="7" t="str">
        <f aca="false">IF(159&lt;=$B$3,B171&amp;" x "&amp;D171&amp;" = ?","")</f>
        <v/>
      </c>
    </row>
    <row r="172" customFormat="false" ht="15" hidden="false" customHeight="false" outlineLevel="0" collapsed="false">
      <c r="A172" s="7" t="str">
        <f aca="false">IF(160&lt;=$B$3,160,"")</f>
        <v/>
      </c>
      <c r="B172" s="7" t="str">
        <f aca="false">IF(160&lt;=$B$3,IF($B$6="Aralık",RANDBETWEEN(MIN($B$4,$B$5),MAX($B$4,$B$5)),CHOOSE(RANDBETWEEN(1,2),$B$4,$B$5)),"")</f>
        <v/>
      </c>
      <c r="C172" s="7" t="str">
        <f aca="false">IF(160&lt;=$B$3,"x","")</f>
        <v/>
      </c>
      <c r="D172" s="7" t="str">
        <f aca="false">IF(160&lt;=$B$3,RANDBETWEEN(MIN($B$7,$B$8),MAX($B$7,$B$8)),"")</f>
        <v/>
      </c>
      <c r="E172" s="7" t="str">
        <f aca="false">IF(160&lt;=$B$3,"=","")</f>
        <v/>
      </c>
      <c r="F172" s="8" t="str">
        <f aca="false">IF(160&lt;=$B$3,B172*D172,"")</f>
        <v/>
      </c>
      <c r="G172" s="7" t="str">
        <f aca="false">IF(160&lt;=$B$3,B172&amp;" x "&amp;D172&amp;" = ?","")</f>
        <v/>
      </c>
    </row>
    <row r="173" customFormat="false" ht="15" hidden="false" customHeight="false" outlineLevel="0" collapsed="false">
      <c r="A173" s="7" t="str">
        <f aca="false">IF(161&lt;=$B$3,161,"")</f>
        <v/>
      </c>
      <c r="B173" s="7" t="str">
        <f aca="false">IF(161&lt;=$B$3,IF($B$6="Aralık",RANDBETWEEN(MIN($B$4,$B$5),MAX($B$4,$B$5)),CHOOSE(RANDBETWEEN(1,2),$B$4,$B$5)),"")</f>
        <v/>
      </c>
      <c r="C173" s="7" t="str">
        <f aca="false">IF(161&lt;=$B$3,"x","")</f>
        <v/>
      </c>
      <c r="D173" s="7" t="str">
        <f aca="false">IF(161&lt;=$B$3,RANDBETWEEN(MIN($B$7,$B$8),MAX($B$7,$B$8)),"")</f>
        <v/>
      </c>
      <c r="E173" s="7" t="str">
        <f aca="false">IF(161&lt;=$B$3,"=","")</f>
        <v/>
      </c>
      <c r="F173" s="8" t="str">
        <f aca="false">IF(161&lt;=$B$3,B173*D173,"")</f>
        <v/>
      </c>
      <c r="G173" s="7" t="str">
        <f aca="false">IF(161&lt;=$B$3,B173&amp;" x "&amp;D173&amp;" = ?","")</f>
        <v/>
      </c>
    </row>
    <row r="174" customFormat="false" ht="15" hidden="false" customHeight="false" outlineLevel="0" collapsed="false">
      <c r="A174" s="7" t="str">
        <f aca="false">IF(162&lt;=$B$3,162,"")</f>
        <v/>
      </c>
      <c r="B174" s="7" t="str">
        <f aca="false">IF(162&lt;=$B$3,IF($B$6="Aralık",RANDBETWEEN(MIN($B$4,$B$5),MAX($B$4,$B$5)),CHOOSE(RANDBETWEEN(1,2),$B$4,$B$5)),"")</f>
        <v/>
      </c>
      <c r="C174" s="7" t="str">
        <f aca="false">IF(162&lt;=$B$3,"x","")</f>
        <v/>
      </c>
      <c r="D174" s="7" t="str">
        <f aca="false">IF(162&lt;=$B$3,RANDBETWEEN(MIN($B$7,$B$8),MAX($B$7,$B$8)),"")</f>
        <v/>
      </c>
      <c r="E174" s="7" t="str">
        <f aca="false">IF(162&lt;=$B$3,"=","")</f>
        <v/>
      </c>
      <c r="F174" s="8" t="str">
        <f aca="false">IF(162&lt;=$B$3,B174*D174,"")</f>
        <v/>
      </c>
      <c r="G174" s="7" t="str">
        <f aca="false">IF(162&lt;=$B$3,B174&amp;" x "&amp;D174&amp;" = ?","")</f>
        <v/>
      </c>
    </row>
    <row r="175" customFormat="false" ht="15" hidden="false" customHeight="false" outlineLevel="0" collapsed="false">
      <c r="A175" s="7" t="str">
        <f aca="false">IF(163&lt;=$B$3,163,"")</f>
        <v/>
      </c>
      <c r="B175" s="7" t="str">
        <f aca="false">IF(163&lt;=$B$3,IF($B$6="Aralık",RANDBETWEEN(MIN($B$4,$B$5),MAX($B$4,$B$5)),CHOOSE(RANDBETWEEN(1,2),$B$4,$B$5)),"")</f>
        <v/>
      </c>
      <c r="C175" s="7" t="str">
        <f aca="false">IF(163&lt;=$B$3,"x","")</f>
        <v/>
      </c>
      <c r="D175" s="7" t="str">
        <f aca="false">IF(163&lt;=$B$3,RANDBETWEEN(MIN($B$7,$B$8),MAX($B$7,$B$8)),"")</f>
        <v/>
      </c>
      <c r="E175" s="7" t="str">
        <f aca="false">IF(163&lt;=$B$3,"=","")</f>
        <v/>
      </c>
      <c r="F175" s="8" t="str">
        <f aca="false">IF(163&lt;=$B$3,B175*D175,"")</f>
        <v/>
      </c>
      <c r="G175" s="7" t="str">
        <f aca="false">IF(163&lt;=$B$3,B175&amp;" x "&amp;D175&amp;" = ?","")</f>
        <v/>
      </c>
    </row>
    <row r="176" customFormat="false" ht="15" hidden="false" customHeight="false" outlineLevel="0" collapsed="false">
      <c r="A176" s="7" t="str">
        <f aca="false">IF(164&lt;=$B$3,164,"")</f>
        <v/>
      </c>
      <c r="B176" s="7" t="str">
        <f aca="false">IF(164&lt;=$B$3,IF($B$6="Aralık",RANDBETWEEN(MIN($B$4,$B$5),MAX($B$4,$B$5)),CHOOSE(RANDBETWEEN(1,2),$B$4,$B$5)),"")</f>
        <v/>
      </c>
      <c r="C176" s="7" t="str">
        <f aca="false">IF(164&lt;=$B$3,"x","")</f>
        <v/>
      </c>
      <c r="D176" s="7" t="str">
        <f aca="false">IF(164&lt;=$B$3,RANDBETWEEN(MIN($B$7,$B$8),MAX($B$7,$B$8)),"")</f>
        <v/>
      </c>
      <c r="E176" s="7" t="str">
        <f aca="false">IF(164&lt;=$B$3,"=","")</f>
        <v/>
      </c>
      <c r="F176" s="8" t="str">
        <f aca="false">IF(164&lt;=$B$3,B176*D176,"")</f>
        <v/>
      </c>
      <c r="G176" s="7" t="str">
        <f aca="false">IF(164&lt;=$B$3,B176&amp;" x "&amp;D176&amp;" = ?","")</f>
        <v/>
      </c>
    </row>
    <row r="177" customFormat="false" ht="15" hidden="false" customHeight="false" outlineLevel="0" collapsed="false">
      <c r="A177" s="7" t="str">
        <f aca="false">IF(165&lt;=$B$3,165,"")</f>
        <v/>
      </c>
      <c r="B177" s="7" t="str">
        <f aca="false">IF(165&lt;=$B$3,IF($B$6="Aralık",RANDBETWEEN(MIN($B$4,$B$5),MAX($B$4,$B$5)),CHOOSE(RANDBETWEEN(1,2),$B$4,$B$5)),"")</f>
        <v/>
      </c>
      <c r="C177" s="7" t="str">
        <f aca="false">IF(165&lt;=$B$3,"x","")</f>
        <v/>
      </c>
      <c r="D177" s="7" t="str">
        <f aca="false">IF(165&lt;=$B$3,RANDBETWEEN(MIN($B$7,$B$8),MAX($B$7,$B$8)),"")</f>
        <v/>
      </c>
      <c r="E177" s="7" t="str">
        <f aca="false">IF(165&lt;=$B$3,"=","")</f>
        <v/>
      </c>
      <c r="F177" s="8" t="str">
        <f aca="false">IF(165&lt;=$B$3,B177*D177,"")</f>
        <v/>
      </c>
      <c r="G177" s="7" t="str">
        <f aca="false">IF(165&lt;=$B$3,B177&amp;" x "&amp;D177&amp;" = ?","")</f>
        <v/>
      </c>
    </row>
    <row r="178" customFormat="false" ht="15" hidden="false" customHeight="false" outlineLevel="0" collapsed="false">
      <c r="A178" s="7" t="str">
        <f aca="false">IF(166&lt;=$B$3,166,"")</f>
        <v/>
      </c>
      <c r="B178" s="7" t="str">
        <f aca="false">IF(166&lt;=$B$3,IF($B$6="Aralık",RANDBETWEEN(MIN($B$4,$B$5),MAX($B$4,$B$5)),CHOOSE(RANDBETWEEN(1,2),$B$4,$B$5)),"")</f>
        <v/>
      </c>
      <c r="C178" s="7" t="str">
        <f aca="false">IF(166&lt;=$B$3,"x","")</f>
        <v/>
      </c>
      <c r="D178" s="7" t="str">
        <f aca="false">IF(166&lt;=$B$3,RANDBETWEEN(MIN($B$7,$B$8),MAX($B$7,$B$8)),"")</f>
        <v/>
      </c>
      <c r="E178" s="7" t="str">
        <f aca="false">IF(166&lt;=$B$3,"=","")</f>
        <v/>
      </c>
      <c r="F178" s="8" t="str">
        <f aca="false">IF(166&lt;=$B$3,B178*D178,"")</f>
        <v/>
      </c>
      <c r="G178" s="7" t="str">
        <f aca="false">IF(166&lt;=$B$3,B178&amp;" x "&amp;D178&amp;" = ?","")</f>
        <v/>
      </c>
    </row>
    <row r="179" customFormat="false" ht="15" hidden="false" customHeight="false" outlineLevel="0" collapsed="false">
      <c r="A179" s="7" t="str">
        <f aca="false">IF(167&lt;=$B$3,167,"")</f>
        <v/>
      </c>
      <c r="B179" s="7" t="str">
        <f aca="false">IF(167&lt;=$B$3,IF($B$6="Aralık",RANDBETWEEN(MIN($B$4,$B$5),MAX($B$4,$B$5)),CHOOSE(RANDBETWEEN(1,2),$B$4,$B$5)),"")</f>
        <v/>
      </c>
      <c r="C179" s="7" t="str">
        <f aca="false">IF(167&lt;=$B$3,"x","")</f>
        <v/>
      </c>
      <c r="D179" s="7" t="str">
        <f aca="false">IF(167&lt;=$B$3,RANDBETWEEN(MIN($B$7,$B$8),MAX($B$7,$B$8)),"")</f>
        <v/>
      </c>
      <c r="E179" s="7" t="str">
        <f aca="false">IF(167&lt;=$B$3,"=","")</f>
        <v/>
      </c>
      <c r="F179" s="8" t="str">
        <f aca="false">IF(167&lt;=$B$3,B179*D179,"")</f>
        <v/>
      </c>
      <c r="G179" s="7" t="str">
        <f aca="false">IF(167&lt;=$B$3,B179&amp;" x "&amp;D179&amp;" = ?","")</f>
        <v/>
      </c>
    </row>
    <row r="180" customFormat="false" ht="15" hidden="false" customHeight="false" outlineLevel="0" collapsed="false">
      <c r="A180" s="7" t="str">
        <f aca="false">IF(168&lt;=$B$3,168,"")</f>
        <v/>
      </c>
      <c r="B180" s="7" t="str">
        <f aca="false">IF(168&lt;=$B$3,IF($B$6="Aralık",RANDBETWEEN(MIN($B$4,$B$5),MAX($B$4,$B$5)),CHOOSE(RANDBETWEEN(1,2),$B$4,$B$5)),"")</f>
        <v/>
      </c>
      <c r="C180" s="7" t="str">
        <f aca="false">IF(168&lt;=$B$3,"x","")</f>
        <v/>
      </c>
      <c r="D180" s="7" t="str">
        <f aca="false">IF(168&lt;=$B$3,RANDBETWEEN(MIN($B$7,$B$8),MAX($B$7,$B$8)),"")</f>
        <v/>
      </c>
      <c r="E180" s="7" t="str">
        <f aca="false">IF(168&lt;=$B$3,"=","")</f>
        <v/>
      </c>
      <c r="F180" s="8" t="str">
        <f aca="false">IF(168&lt;=$B$3,B180*D180,"")</f>
        <v/>
      </c>
      <c r="G180" s="7" t="str">
        <f aca="false">IF(168&lt;=$B$3,B180&amp;" x "&amp;D180&amp;" = ?","")</f>
        <v/>
      </c>
    </row>
    <row r="181" customFormat="false" ht="15" hidden="false" customHeight="false" outlineLevel="0" collapsed="false">
      <c r="A181" s="7" t="str">
        <f aca="false">IF(169&lt;=$B$3,169,"")</f>
        <v/>
      </c>
      <c r="B181" s="7" t="str">
        <f aca="false">IF(169&lt;=$B$3,IF($B$6="Aralık",RANDBETWEEN(MIN($B$4,$B$5),MAX($B$4,$B$5)),CHOOSE(RANDBETWEEN(1,2),$B$4,$B$5)),"")</f>
        <v/>
      </c>
      <c r="C181" s="7" t="str">
        <f aca="false">IF(169&lt;=$B$3,"x","")</f>
        <v/>
      </c>
      <c r="D181" s="7" t="str">
        <f aca="false">IF(169&lt;=$B$3,RANDBETWEEN(MIN($B$7,$B$8),MAX($B$7,$B$8)),"")</f>
        <v/>
      </c>
      <c r="E181" s="7" t="str">
        <f aca="false">IF(169&lt;=$B$3,"=","")</f>
        <v/>
      </c>
      <c r="F181" s="8" t="str">
        <f aca="false">IF(169&lt;=$B$3,B181*D181,"")</f>
        <v/>
      </c>
      <c r="G181" s="7" t="str">
        <f aca="false">IF(169&lt;=$B$3,B181&amp;" x "&amp;D181&amp;" = ?","")</f>
        <v/>
      </c>
    </row>
    <row r="182" customFormat="false" ht="15" hidden="false" customHeight="false" outlineLevel="0" collapsed="false">
      <c r="A182" s="7" t="str">
        <f aca="false">IF(170&lt;=$B$3,170,"")</f>
        <v/>
      </c>
      <c r="B182" s="7" t="str">
        <f aca="false">IF(170&lt;=$B$3,IF($B$6="Aralık",RANDBETWEEN(MIN($B$4,$B$5),MAX($B$4,$B$5)),CHOOSE(RANDBETWEEN(1,2),$B$4,$B$5)),"")</f>
        <v/>
      </c>
      <c r="C182" s="7" t="str">
        <f aca="false">IF(170&lt;=$B$3,"x","")</f>
        <v/>
      </c>
      <c r="D182" s="7" t="str">
        <f aca="false">IF(170&lt;=$B$3,RANDBETWEEN(MIN($B$7,$B$8),MAX($B$7,$B$8)),"")</f>
        <v/>
      </c>
      <c r="E182" s="7" t="str">
        <f aca="false">IF(170&lt;=$B$3,"=","")</f>
        <v/>
      </c>
      <c r="F182" s="8" t="str">
        <f aca="false">IF(170&lt;=$B$3,B182*D182,"")</f>
        <v/>
      </c>
      <c r="G182" s="7" t="str">
        <f aca="false">IF(170&lt;=$B$3,B182&amp;" x "&amp;D182&amp;" = ?","")</f>
        <v/>
      </c>
    </row>
    <row r="183" customFormat="false" ht="15" hidden="false" customHeight="false" outlineLevel="0" collapsed="false">
      <c r="A183" s="7" t="str">
        <f aca="false">IF(171&lt;=$B$3,171,"")</f>
        <v/>
      </c>
      <c r="B183" s="7" t="str">
        <f aca="false">IF(171&lt;=$B$3,IF($B$6="Aralık",RANDBETWEEN(MIN($B$4,$B$5),MAX($B$4,$B$5)),CHOOSE(RANDBETWEEN(1,2),$B$4,$B$5)),"")</f>
        <v/>
      </c>
      <c r="C183" s="7" t="str">
        <f aca="false">IF(171&lt;=$B$3,"x","")</f>
        <v/>
      </c>
      <c r="D183" s="7" t="str">
        <f aca="false">IF(171&lt;=$B$3,RANDBETWEEN(MIN($B$7,$B$8),MAX($B$7,$B$8)),"")</f>
        <v/>
      </c>
      <c r="E183" s="7" t="str">
        <f aca="false">IF(171&lt;=$B$3,"=","")</f>
        <v/>
      </c>
      <c r="F183" s="8" t="str">
        <f aca="false">IF(171&lt;=$B$3,B183*D183,"")</f>
        <v/>
      </c>
      <c r="G183" s="7" t="str">
        <f aca="false">IF(171&lt;=$B$3,B183&amp;" x "&amp;D183&amp;" = ?","")</f>
        <v/>
      </c>
    </row>
    <row r="184" customFormat="false" ht="15" hidden="false" customHeight="false" outlineLevel="0" collapsed="false">
      <c r="A184" s="7" t="str">
        <f aca="false">IF(172&lt;=$B$3,172,"")</f>
        <v/>
      </c>
      <c r="B184" s="7" t="str">
        <f aca="false">IF(172&lt;=$B$3,IF($B$6="Aralık",RANDBETWEEN(MIN($B$4,$B$5),MAX($B$4,$B$5)),CHOOSE(RANDBETWEEN(1,2),$B$4,$B$5)),"")</f>
        <v/>
      </c>
      <c r="C184" s="7" t="str">
        <f aca="false">IF(172&lt;=$B$3,"x","")</f>
        <v/>
      </c>
      <c r="D184" s="7" t="str">
        <f aca="false">IF(172&lt;=$B$3,RANDBETWEEN(MIN($B$7,$B$8),MAX($B$7,$B$8)),"")</f>
        <v/>
      </c>
      <c r="E184" s="7" t="str">
        <f aca="false">IF(172&lt;=$B$3,"=","")</f>
        <v/>
      </c>
      <c r="F184" s="8" t="str">
        <f aca="false">IF(172&lt;=$B$3,B184*D184,"")</f>
        <v/>
      </c>
      <c r="G184" s="7" t="str">
        <f aca="false">IF(172&lt;=$B$3,B184&amp;" x "&amp;D184&amp;" = ?","")</f>
        <v/>
      </c>
    </row>
    <row r="185" customFormat="false" ht="15" hidden="false" customHeight="false" outlineLevel="0" collapsed="false">
      <c r="A185" s="7" t="str">
        <f aca="false">IF(173&lt;=$B$3,173,"")</f>
        <v/>
      </c>
      <c r="B185" s="7" t="str">
        <f aca="false">IF(173&lt;=$B$3,IF($B$6="Aralık",RANDBETWEEN(MIN($B$4,$B$5),MAX($B$4,$B$5)),CHOOSE(RANDBETWEEN(1,2),$B$4,$B$5)),"")</f>
        <v/>
      </c>
      <c r="C185" s="7" t="str">
        <f aca="false">IF(173&lt;=$B$3,"x","")</f>
        <v/>
      </c>
      <c r="D185" s="7" t="str">
        <f aca="false">IF(173&lt;=$B$3,RANDBETWEEN(MIN($B$7,$B$8),MAX($B$7,$B$8)),"")</f>
        <v/>
      </c>
      <c r="E185" s="7" t="str">
        <f aca="false">IF(173&lt;=$B$3,"=","")</f>
        <v/>
      </c>
      <c r="F185" s="8" t="str">
        <f aca="false">IF(173&lt;=$B$3,B185*D185,"")</f>
        <v/>
      </c>
      <c r="G185" s="7" t="str">
        <f aca="false">IF(173&lt;=$B$3,B185&amp;" x "&amp;D185&amp;" = ?","")</f>
        <v/>
      </c>
    </row>
    <row r="186" customFormat="false" ht="15" hidden="false" customHeight="false" outlineLevel="0" collapsed="false">
      <c r="A186" s="7" t="str">
        <f aca="false">IF(174&lt;=$B$3,174,"")</f>
        <v/>
      </c>
      <c r="B186" s="7" t="str">
        <f aca="false">IF(174&lt;=$B$3,IF($B$6="Aralık",RANDBETWEEN(MIN($B$4,$B$5),MAX($B$4,$B$5)),CHOOSE(RANDBETWEEN(1,2),$B$4,$B$5)),"")</f>
        <v/>
      </c>
      <c r="C186" s="7" t="str">
        <f aca="false">IF(174&lt;=$B$3,"x","")</f>
        <v/>
      </c>
      <c r="D186" s="7" t="str">
        <f aca="false">IF(174&lt;=$B$3,RANDBETWEEN(MIN($B$7,$B$8),MAX($B$7,$B$8)),"")</f>
        <v/>
      </c>
      <c r="E186" s="7" t="str">
        <f aca="false">IF(174&lt;=$B$3,"=","")</f>
        <v/>
      </c>
      <c r="F186" s="8" t="str">
        <f aca="false">IF(174&lt;=$B$3,B186*D186,"")</f>
        <v/>
      </c>
      <c r="G186" s="7" t="str">
        <f aca="false">IF(174&lt;=$B$3,B186&amp;" x "&amp;D186&amp;" = ?","")</f>
        <v/>
      </c>
    </row>
    <row r="187" customFormat="false" ht="15" hidden="false" customHeight="false" outlineLevel="0" collapsed="false">
      <c r="A187" s="7" t="str">
        <f aca="false">IF(175&lt;=$B$3,175,"")</f>
        <v/>
      </c>
      <c r="B187" s="7" t="str">
        <f aca="false">IF(175&lt;=$B$3,IF($B$6="Aralık",RANDBETWEEN(MIN($B$4,$B$5),MAX($B$4,$B$5)),CHOOSE(RANDBETWEEN(1,2),$B$4,$B$5)),"")</f>
        <v/>
      </c>
      <c r="C187" s="7" t="str">
        <f aca="false">IF(175&lt;=$B$3,"x","")</f>
        <v/>
      </c>
      <c r="D187" s="7" t="str">
        <f aca="false">IF(175&lt;=$B$3,RANDBETWEEN(MIN($B$7,$B$8),MAX($B$7,$B$8)),"")</f>
        <v/>
      </c>
      <c r="E187" s="7" t="str">
        <f aca="false">IF(175&lt;=$B$3,"=","")</f>
        <v/>
      </c>
      <c r="F187" s="8" t="str">
        <f aca="false">IF(175&lt;=$B$3,B187*D187,"")</f>
        <v/>
      </c>
      <c r="G187" s="7" t="str">
        <f aca="false">IF(175&lt;=$B$3,B187&amp;" x "&amp;D187&amp;" = ?","")</f>
        <v/>
      </c>
    </row>
    <row r="188" customFormat="false" ht="15" hidden="false" customHeight="false" outlineLevel="0" collapsed="false">
      <c r="A188" s="7" t="str">
        <f aca="false">IF(176&lt;=$B$3,176,"")</f>
        <v/>
      </c>
      <c r="B188" s="7" t="str">
        <f aca="false">IF(176&lt;=$B$3,IF($B$6="Aralık",RANDBETWEEN(MIN($B$4,$B$5),MAX($B$4,$B$5)),CHOOSE(RANDBETWEEN(1,2),$B$4,$B$5)),"")</f>
        <v/>
      </c>
      <c r="C188" s="7" t="str">
        <f aca="false">IF(176&lt;=$B$3,"x","")</f>
        <v/>
      </c>
      <c r="D188" s="7" t="str">
        <f aca="false">IF(176&lt;=$B$3,RANDBETWEEN(MIN($B$7,$B$8),MAX($B$7,$B$8)),"")</f>
        <v/>
      </c>
      <c r="E188" s="7" t="str">
        <f aca="false">IF(176&lt;=$B$3,"=","")</f>
        <v/>
      </c>
      <c r="F188" s="8" t="str">
        <f aca="false">IF(176&lt;=$B$3,B188*D188,"")</f>
        <v/>
      </c>
      <c r="G188" s="7" t="str">
        <f aca="false">IF(176&lt;=$B$3,B188&amp;" x "&amp;D188&amp;" = ?","")</f>
        <v/>
      </c>
    </row>
    <row r="189" customFormat="false" ht="15" hidden="false" customHeight="false" outlineLevel="0" collapsed="false">
      <c r="A189" s="7" t="str">
        <f aca="false">IF(177&lt;=$B$3,177,"")</f>
        <v/>
      </c>
      <c r="B189" s="7" t="str">
        <f aca="false">IF(177&lt;=$B$3,IF($B$6="Aralık",RANDBETWEEN(MIN($B$4,$B$5),MAX($B$4,$B$5)),CHOOSE(RANDBETWEEN(1,2),$B$4,$B$5)),"")</f>
        <v/>
      </c>
      <c r="C189" s="7" t="str">
        <f aca="false">IF(177&lt;=$B$3,"x","")</f>
        <v/>
      </c>
      <c r="D189" s="7" t="str">
        <f aca="false">IF(177&lt;=$B$3,RANDBETWEEN(MIN($B$7,$B$8),MAX($B$7,$B$8)),"")</f>
        <v/>
      </c>
      <c r="E189" s="7" t="str">
        <f aca="false">IF(177&lt;=$B$3,"=","")</f>
        <v/>
      </c>
      <c r="F189" s="8" t="str">
        <f aca="false">IF(177&lt;=$B$3,B189*D189,"")</f>
        <v/>
      </c>
      <c r="G189" s="7" t="str">
        <f aca="false">IF(177&lt;=$B$3,B189&amp;" x "&amp;D189&amp;" = ?","")</f>
        <v/>
      </c>
    </row>
    <row r="190" customFormat="false" ht="15" hidden="false" customHeight="false" outlineLevel="0" collapsed="false">
      <c r="A190" s="7" t="str">
        <f aca="false">IF(178&lt;=$B$3,178,"")</f>
        <v/>
      </c>
      <c r="B190" s="7" t="str">
        <f aca="false">IF(178&lt;=$B$3,IF($B$6="Aralık",RANDBETWEEN(MIN($B$4,$B$5),MAX($B$4,$B$5)),CHOOSE(RANDBETWEEN(1,2),$B$4,$B$5)),"")</f>
        <v/>
      </c>
      <c r="C190" s="7" t="str">
        <f aca="false">IF(178&lt;=$B$3,"x","")</f>
        <v/>
      </c>
      <c r="D190" s="7" t="str">
        <f aca="false">IF(178&lt;=$B$3,RANDBETWEEN(MIN($B$7,$B$8),MAX($B$7,$B$8)),"")</f>
        <v/>
      </c>
      <c r="E190" s="7" t="str">
        <f aca="false">IF(178&lt;=$B$3,"=","")</f>
        <v/>
      </c>
      <c r="F190" s="8" t="str">
        <f aca="false">IF(178&lt;=$B$3,B190*D190,"")</f>
        <v/>
      </c>
      <c r="G190" s="7" t="str">
        <f aca="false">IF(178&lt;=$B$3,B190&amp;" x "&amp;D190&amp;" = ?","")</f>
        <v/>
      </c>
    </row>
    <row r="191" customFormat="false" ht="15" hidden="false" customHeight="false" outlineLevel="0" collapsed="false">
      <c r="A191" s="7" t="str">
        <f aca="false">IF(179&lt;=$B$3,179,"")</f>
        <v/>
      </c>
      <c r="B191" s="7" t="str">
        <f aca="false">IF(179&lt;=$B$3,IF($B$6="Aralık",RANDBETWEEN(MIN($B$4,$B$5),MAX($B$4,$B$5)),CHOOSE(RANDBETWEEN(1,2),$B$4,$B$5)),"")</f>
        <v/>
      </c>
      <c r="C191" s="7" t="str">
        <f aca="false">IF(179&lt;=$B$3,"x","")</f>
        <v/>
      </c>
      <c r="D191" s="7" t="str">
        <f aca="false">IF(179&lt;=$B$3,RANDBETWEEN(MIN($B$7,$B$8),MAX($B$7,$B$8)),"")</f>
        <v/>
      </c>
      <c r="E191" s="7" t="str">
        <f aca="false">IF(179&lt;=$B$3,"=","")</f>
        <v/>
      </c>
      <c r="F191" s="8" t="str">
        <f aca="false">IF(179&lt;=$B$3,B191*D191,"")</f>
        <v/>
      </c>
      <c r="G191" s="7" t="str">
        <f aca="false">IF(179&lt;=$B$3,B191&amp;" x "&amp;D191&amp;" = ?","")</f>
        <v/>
      </c>
    </row>
    <row r="192" customFormat="false" ht="15" hidden="false" customHeight="false" outlineLevel="0" collapsed="false">
      <c r="A192" s="7" t="str">
        <f aca="false">IF(180&lt;=$B$3,180,"")</f>
        <v/>
      </c>
      <c r="B192" s="7" t="str">
        <f aca="false">IF(180&lt;=$B$3,IF($B$6="Aralık",RANDBETWEEN(MIN($B$4,$B$5),MAX($B$4,$B$5)),CHOOSE(RANDBETWEEN(1,2),$B$4,$B$5)),"")</f>
        <v/>
      </c>
      <c r="C192" s="7" t="str">
        <f aca="false">IF(180&lt;=$B$3,"x","")</f>
        <v/>
      </c>
      <c r="D192" s="7" t="str">
        <f aca="false">IF(180&lt;=$B$3,RANDBETWEEN(MIN($B$7,$B$8),MAX($B$7,$B$8)),"")</f>
        <v/>
      </c>
      <c r="E192" s="7" t="str">
        <f aca="false">IF(180&lt;=$B$3,"=","")</f>
        <v/>
      </c>
      <c r="F192" s="8" t="str">
        <f aca="false">IF(180&lt;=$B$3,B192*D192,"")</f>
        <v/>
      </c>
      <c r="G192" s="7" t="str">
        <f aca="false">IF(180&lt;=$B$3,B192&amp;" x "&amp;D192&amp;" = ?","")</f>
        <v/>
      </c>
    </row>
    <row r="193" customFormat="false" ht="15" hidden="false" customHeight="false" outlineLevel="0" collapsed="false">
      <c r="A193" s="7" t="str">
        <f aca="false">IF(181&lt;=$B$3,181,"")</f>
        <v/>
      </c>
      <c r="B193" s="7" t="str">
        <f aca="false">IF(181&lt;=$B$3,IF($B$6="Aralık",RANDBETWEEN(MIN($B$4,$B$5),MAX($B$4,$B$5)),CHOOSE(RANDBETWEEN(1,2),$B$4,$B$5)),"")</f>
        <v/>
      </c>
      <c r="C193" s="7" t="str">
        <f aca="false">IF(181&lt;=$B$3,"x","")</f>
        <v/>
      </c>
      <c r="D193" s="7" t="str">
        <f aca="false">IF(181&lt;=$B$3,RANDBETWEEN(MIN($B$7,$B$8),MAX($B$7,$B$8)),"")</f>
        <v/>
      </c>
      <c r="E193" s="7" t="str">
        <f aca="false">IF(181&lt;=$B$3,"=","")</f>
        <v/>
      </c>
      <c r="F193" s="8" t="str">
        <f aca="false">IF(181&lt;=$B$3,B193*D193,"")</f>
        <v/>
      </c>
      <c r="G193" s="7" t="str">
        <f aca="false">IF(181&lt;=$B$3,B193&amp;" x "&amp;D193&amp;" = ?","")</f>
        <v/>
      </c>
    </row>
    <row r="194" customFormat="false" ht="15" hidden="false" customHeight="false" outlineLevel="0" collapsed="false">
      <c r="A194" s="7" t="str">
        <f aca="false">IF(182&lt;=$B$3,182,"")</f>
        <v/>
      </c>
      <c r="B194" s="7" t="str">
        <f aca="false">IF(182&lt;=$B$3,IF($B$6="Aralık",RANDBETWEEN(MIN($B$4,$B$5),MAX($B$4,$B$5)),CHOOSE(RANDBETWEEN(1,2),$B$4,$B$5)),"")</f>
        <v/>
      </c>
      <c r="C194" s="7" t="str">
        <f aca="false">IF(182&lt;=$B$3,"x","")</f>
        <v/>
      </c>
      <c r="D194" s="7" t="str">
        <f aca="false">IF(182&lt;=$B$3,RANDBETWEEN(MIN($B$7,$B$8),MAX($B$7,$B$8)),"")</f>
        <v/>
      </c>
      <c r="E194" s="7" t="str">
        <f aca="false">IF(182&lt;=$B$3,"=","")</f>
        <v/>
      </c>
      <c r="F194" s="8" t="str">
        <f aca="false">IF(182&lt;=$B$3,B194*D194,"")</f>
        <v/>
      </c>
      <c r="G194" s="7" t="str">
        <f aca="false">IF(182&lt;=$B$3,B194&amp;" x "&amp;D194&amp;" = ?","")</f>
        <v/>
      </c>
    </row>
    <row r="195" customFormat="false" ht="15" hidden="false" customHeight="false" outlineLevel="0" collapsed="false">
      <c r="A195" s="7" t="str">
        <f aca="false">IF(183&lt;=$B$3,183,"")</f>
        <v/>
      </c>
      <c r="B195" s="7" t="str">
        <f aca="false">IF(183&lt;=$B$3,IF($B$6="Aralık",RANDBETWEEN(MIN($B$4,$B$5),MAX($B$4,$B$5)),CHOOSE(RANDBETWEEN(1,2),$B$4,$B$5)),"")</f>
        <v/>
      </c>
      <c r="C195" s="7" t="str">
        <f aca="false">IF(183&lt;=$B$3,"x","")</f>
        <v/>
      </c>
      <c r="D195" s="7" t="str">
        <f aca="false">IF(183&lt;=$B$3,RANDBETWEEN(MIN($B$7,$B$8),MAX($B$7,$B$8)),"")</f>
        <v/>
      </c>
      <c r="E195" s="7" t="str">
        <f aca="false">IF(183&lt;=$B$3,"=","")</f>
        <v/>
      </c>
      <c r="F195" s="8" t="str">
        <f aca="false">IF(183&lt;=$B$3,B195*D195,"")</f>
        <v/>
      </c>
      <c r="G195" s="7" t="str">
        <f aca="false">IF(183&lt;=$B$3,B195&amp;" x "&amp;D195&amp;" = ?","")</f>
        <v/>
      </c>
    </row>
    <row r="196" customFormat="false" ht="15" hidden="false" customHeight="false" outlineLevel="0" collapsed="false">
      <c r="A196" s="7" t="str">
        <f aca="false">IF(184&lt;=$B$3,184,"")</f>
        <v/>
      </c>
      <c r="B196" s="7" t="str">
        <f aca="false">IF(184&lt;=$B$3,IF($B$6="Aralık",RANDBETWEEN(MIN($B$4,$B$5),MAX($B$4,$B$5)),CHOOSE(RANDBETWEEN(1,2),$B$4,$B$5)),"")</f>
        <v/>
      </c>
      <c r="C196" s="7" t="str">
        <f aca="false">IF(184&lt;=$B$3,"x","")</f>
        <v/>
      </c>
      <c r="D196" s="7" t="str">
        <f aca="false">IF(184&lt;=$B$3,RANDBETWEEN(MIN($B$7,$B$8),MAX($B$7,$B$8)),"")</f>
        <v/>
      </c>
      <c r="E196" s="7" t="str">
        <f aca="false">IF(184&lt;=$B$3,"=","")</f>
        <v/>
      </c>
      <c r="F196" s="8" t="str">
        <f aca="false">IF(184&lt;=$B$3,B196*D196,"")</f>
        <v/>
      </c>
      <c r="G196" s="7" t="str">
        <f aca="false">IF(184&lt;=$B$3,B196&amp;" x "&amp;D196&amp;" = ?","")</f>
        <v/>
      </c>
    </row>
    <row r="197" customFormat="false" ht="15" hidden="false" customHeight="false" outlineLevel="0" collapsed="false">
      <c r="A197" s="7" t="str">
        <f aca="false">IF(185&lt;=$B$3,185,"")</f>
        <v/>
      </c>
      <c r="B197" s="7" t="str">
        <f aca="false">IF(185&lt;=$B$3,IF($B$6="Aralık",RANDBETWEEN(MIN($B$4,$B$5),MAX($B$4,$B$5)),CHOOSE(RANDBETWEEN(1,2),$B$4,$B$5)),"")</f>
        <v/>
      </c>
      <c r="C197" s="7" t="str">
        <f aca="false">IF(185&lt;=$B$3,"x","")</f>
        <v/>
      </c>
      <c r="D197" s="7" t="str">
        <f aca="false">IF(185&lt;=$B$3,RANDBETWEEN(MIN($B$7,$B$8),MAX($B$7,$B$8)),"")</f>
        <v/>
      </c>
      <c r="E197" s="7" t="str">
        <f aca="false">IF(185&lt;=$B$3,"=","")</f>
        <v/>
      </c>
      <c r="F197" s="8" t="str">
        <f aca="false">IF(185&lt;=$B$3,B197*D197,"")</f>
        <v/>
      </c>
      <c r="G197" s="7" t="str">
        <f aca="false">IF(185&lt;=$B$3,B197&amp;" x "&amp;D197&amp;" = ?","")</f>
        <v/>
      </c>
    </row>
    <row r="198" customFormat="false" ht="15" hidden="false" customHeight="false" outlineLevel="0" collapsed="false">
      <c r="A198" s="7" t="str">
        <f aca="false">IF(186&lt;=$B$3,186,"")</f>
        <v/>
      </c>
      <c r="B198" s="7" t="str">
        <f aca="false">IF(186&lt;=$B$3,IF($B$6="Aralık",RANDBETWEEN(MIN($B$4,$B$5),MAX($B$4,$B$5)),CHOOSE(RANDBETWEEN(1,2),$B$4,$B$5)),"")</f>
        <v/>
      </c>
      <c r="C198" s="7" t="str">
        <f aca="false">IF(186&lt;=$B$3,"x","")</f>
        <v/>
      </c>
      <c r="D198" s="7" t="str">
        <f aca="false">IF(186&lt;=$B$3,RANDBETWEEN(MIN($B$7,$B$8),MAX($B$7,$B$8)),"")</f>
        <v/>
      </c>
      <c r="E198" s="7" t="str">
        <f aca="false">IF(186&lt;=$B$3,"=","")</f>
        <v/>
      </c>
      <c r="F198" s="8" t="str">
        <f aca="false">IF(186&lt;=$B$3,B198*D198,"")</f>
        <v/>
      </c>
      <c r="G198" s="7" t="str">
        <f aca="false">IF(186&lt;=$B$3,B198&amp;" x "&amp;D198&amp;" = ?","")</f>
        <v/>
      </c>
    </row>
    <row r="199" customFormat="false" ht="15" hidden="false" customHeight="false" outlineLevel="0" collapsed="false">
      <c r="A199" s="7" t="str">
        <f aca="false">IF(187&lt;=$B$3,187,"")</f>
        <v/>
      </c>
      <c r="B199" s="7" t="str">
        <f aca="false">IF(187&lt;=$B$3,IF($B$6="Aralık",RANDBETWEEN(MIN($B$4,$B$5),MAX($B$4,$B$5)),CHOOSE(RANDBETWEEN(1,2),$B$4,$B$5)),"")</f>
        <v/>
      </c>
      <c r="C199" s="7" t="str">
        <f aca="false">IF(187&lt;=$B$3,"x","")</f>
        <v/>
      </c>
      <c r="D199" s="7" t="str">
        <f aca="false">IF(187&lt;=$B$3,RANDBETWEEN(MIN($B$7,$B$8),MAX($B$7,$B$8)),"")</f>
        <v/>
      </c>
      <c r="E199" s="7" t="str">
        <f aca="false">IF(187&lt;=$B$3,"=","")</f>
        <v/>
      </c>
      <c r="F199" s="8" t="str">
        <f aca="false">IF(187&lt;=$B$3,B199*D199,"")</f>
        <v/>
      </c>
      <c r="G199" s="7" t="str">
        <f aca="false">IF(187&lt;=$B$3,B199&amp;" x "&amp;D199&amp;" = ?","")</f>
        <v/>
      </c>
    </row>
    <row r="200" customFormat="false" ht="15" hidden="false" customHeight="false" outlineLevel="0" collapsed="false">
      <c r="A200" s="7" t="str">
        <f aca="false">IF(188&lt;=$B$3,188,"")</f>
        <v/>
      </c>
      <c r="B200" s="7" t="str">
        <f aca="false">IF(188&lt;=$B$3,IF($B$6="Aralık",RANDBETWEEN(MIN($B$4,$B$5),MAX($B$4,$B$5)),CHOOSE(RANDBETWEEN(1,2),$B$4,$B$5)),"")</f>
        <v/>
      </c>
      <c r="C200" s="7" t="str">
        <f aca="false">IF(188&lt;=$B$3,"x","")</f>
        <v/>
      </c>
      <c r="D200" s="7" t="str">
        <f aca="false">IF(188&lt;=$B$3,RANDBETWEEN(MIN($B$7,$B$8),MAX($B$7,$B$8)),"")</f>
        <v/>
      </c>
      <c r="E200" s="7" t="str">
        <f aca="false">IF(188&lt;=$B$3,"=","")</f>
        <v/>
      </c>
      <c r="F200" s="8" t="str">
        <f aca="false">IF(188&lt;=$B$3,B200*D200,"")</f>
        <v/>
      </c>
      <c r="G200" s="7" t="str">
        <f aca="false">IF(188&lt;=$B$3,B200&amp;" x "&amp;D200&amp;" = ?","")</f>
        <v/>
      </c>
    </row>
    <row r="201" customFormat="false" ht="15" hidden="false" customHeight="false" outlineLevel="0" collapsed="false">
      <c r="A201" s="7" t="str">
        <f aca="false">IF(189&lt;=$B$3,189,"")</f>
        <v/>
      </c>
      <c r="B201" s="7" t="str">
        <f aca="false">IF(189&lt;=$B$3,IF($B$6="Aralık",RANDBETWEEN(MIN($B$4,$B$5),MAX($B$4,$B$5)),CHOOSE(RANDBETWEEN(1,2),$B$4,$B$5)),"")</f>
        <v/>
      </c>
      <c r="C201" s="7" t="str">
        <f aca="false">IF(189&lt;=$B$3,"x","")</f>
        <v/>
      </c>
      <c r="D201" s="7" t="str">
        <f aca="false">IF(189&lt;=$B$3,RANDBETWEEN(MIN($B$7,$B$8),MAX($B$7,$B$8)),"")</f>
        <v/>
      </c>
      <c r="E201" s="7" t="str">
        <f aca="false">IF(189&lt;=$B$3,"=","")</f>
        <v/>
      </c>
      <c r="F201" s="8" t="str">
        <f aca="false">IF(189&lt;=$B$3,B201*D201,"")</f>
        <v/>
      </c>
      <c r="G201" s="7" t="str">
        <f aca="false">IF(189&lt;=$B$3,B201&amp;" x "&amp;D201&amp;" = ?","")</f>
        <v/>
      </c>
    </row>
    <row r="202" customFormat="false" ht="15" hidden="false" customHeight="false" outlineLevel="0" collapsed="false">
      <c r="A202" s="7" t="str">
        <f aca="false">IF(190&lt;=$B$3,190,"")</f>
        <v/>
      </c>
      <c r="B202" s="7" t="str">
        <f aca="false">IF(190&lt;=$B$3,IF($B$6="Aralık",RANDBETWEEN(MIN($B$4,$B$5),MAX($B$4,$B$5)),CHOOSE(RANDBETWEEN(1,2),$B$4,$B$5)),"")</f>
        <v/>
      </c>
      <c r="C202" s="7" t="str">
        <f aca="false">IF(190&lt;=$B$3,"x","")</f>
        <v/>
      </c>
      <c r="D202" s="7" t="str">
        <f aca="false">IF(190&lt;=$B$3,RANDBETWEEN(MIN($B$7,$B$8),MAX($B$7,$B$8)),"")</f>
        <v/>
      </c>
      <c r="E202" s="7" t="str">
        <f aca="false">IF(190&lt;=$B$3,"=","")</f>
        <v/>
      </c>
      <c r="F202" s="8" t="str">
        <f aca="false">IF(190&lt;=$B$3,B202*D202,"")</f>
        <v/>
      </c>
      <c r="G202" s="7" t="str">
        <f aca="false">IF(190&lt;=$B$3,B202&amp;" x "&amp;D202&amp;" = ?","")</f>
        <v/>
      </c>
    </row>
    <row r="203" customFormat="false" ht="15" hidden="false" customHeight="false" outlineLevel="0" collapsed="false">
      <c r="A203" s="7" t="str">
        <f aca="false">IF(191&lt;=$B$3,191,"")</f>
        <v/>
      </c>
      <c r="B203" s="7" t="str">
        <f aca="false">IF(191&lt;=$B$3,IF($B$6="Aralık",RANDBETWEEN(MIN($B$4,$B$5),MAX($B$4,$B$5)),CHOOSE(RANDBETWEEN(1,2),$B$4,$B$5)),"")</f>
        <v/>
      </c>
      <c r="C203" s="7" t="str">
        <f aca="false">IF(191&lt;=$B$3,"x","")</f>
        <v/>
      </c>
      <c r="D203" s="7" t="str">
        <f aca="false">IF(191&lt;=$B$3,RANDBETWEEN(MIN($B$7,$B$8),MAX($B$7,$B$8)),"")</f>
        <v/>
      </c>
      <c r="E203" s="7" t="str">
        <f aca="false">IF(191&lt;=$B$3,"=","")</f>
        <v/>
      </c>
      <c r="F203" s="8" t="str">
        <f aca="false">IF(191&lt;=$B$3,B203*D203,"")</f>
        <v/>
      </c>
      <c r="G203" s="7" t="str">
        <f aca="false">IF(191&lt;=$B$3,B203&amp;" x "&amp;D203&amp;" = ?","")</f>
        <v/>
      </c>
    </row>
    <row r="204" customFormat="false" ht="15" hidden="false" customHeight="false" outlineLevel="0" collapsed="false">
      <c r="A204" s="7" t="str">
        <f aca="false">IF(192&lt;=$B$3,192,"")</f>
        <v/>
      </c>
      <c r="B204" s="7" t="str">
        <f aca="false">IF(192&lt;=$B$3,IF($B$6="Aralık",RANDBETWEEN(MIN($B$4,$B$5),MAX($B$4,$B$5)),CHOOSE(RANDBETWEEN(1,2),$B$4,$B$5)),"")</f>
        <v/>
      </c>
      <c r="C204" s="7" t="str">
        <f aca="false">IF(192&lt;=$B$3,"x","")</f>
        <v/>
      </c>
      <c r="D204" s="7" t="str">
        <f aca="false">IF(192&lt;=$B$3,RANDBETWEEN(MIN($B$7,$B$8),MAX($B$7,$B$8)),"")</f>
        <v/>
      </c>
      <c r="E204" s="7" t="str">
        <f aca="false">IF(192&lt;=$B$3,"=","")</f>
        <v/>
      </c>
      <c r="F204" s="8" t="str">
        <f aca="false">IF(192&lt;=$B$3,B204*D204,"")</f>
        <v/>
      </c>
      <c r="G204" s="7" t="str">
        <f aca="false">IF(192&lt;=$B$3,B204&amp;" x "&amp;D204&amp;" = ?","")</f>
        <v/>
      </c>
    </row>
    <row r="205" customFormat="false" ht="15" hidden="false" customHeight="false" outlineLevel="0" collapsed="false">
      <c r="A205" s="7" t="str">
        <f aca="false">IF(193&lt;=$B$3,193,"")</f>
        <v/>
      </c>
      <c r="B205" s="7" t="str">
        <f aca="false">IF(193&lt;=$B$3,IF($B$6="Aralık",RANDBETWEEN(MIN($B$4,$B$5),MAX($B$4,$B$5)),CHOOSE(RANDBETWEEN(1,2),$B$4,$B$5)),"")</f>
        <v/>
      </c>
      <c r="C205" s="7" t="str">
        <f aca="false">IF(193&lt;=$B$3,"x","")</f>
        <v/>
      </c>
      <c r="D205" s="7" t="str">
        <f aca="false">IF(193&lt;=$B$3,RANDBETWEEN(MIN($B$7,$B$8),MAX($B$7,$B$8)),"")</f>
        <v/>
      </c>
      <c r="E205" s="7" t="str">
        <f aca="false">IF(193&lt;=$B$3,"=","")</f>
        <v/>
      </c>
      <c r="F205" s="8" t="str">
        <f aca="false">IF(193&lt;=$B$3,B205*D205,"")</f>
        <v/>
      </c>
      <c r="G205" s="7" t="str">
        <f aca="false">IF(193&lt;=$B$3,B205&amp;" x "&amp;D205&amp;" = ?","")</f>
        <v/>
      </c>
    </row>
    <row r="206" customFormat="false" ht="15" hidden="false" customHeight="false" outlineLevel="0" collapsed="false">
      <c r="A206" s="7" t="str">
        <f aca="false">IF(194&lt;=$B$3,194,"")</f>
        <v/>
      </c>
      <c r="B206" s="7" t="str">
        <f aca="false">IF(194&lt;=$B$3,IF($B$6="Aralık",RANDBETWEEN(MIN($B$4,$B$5),MAX($B$4,$B$5)),CHOOSE(RANDBETWEEN(1,2),$B$4,$B$5)),"")</f>
        <v/>
      </c>
      <c r="C206" s="7" t="str">
        <f aca="false">IF(194&lt;=$B$3,"x","")</f>
        <v/>
      </c>
      <c r="D206" s="7" t="str">
        <f aca="false">IF(194&lt;=$B$3,RANDBETWEEN(MIN($B$7,$B$8),MAX($B$7,$B$8)),"")</f>
        <v/>
      </c>
      <c r="E206" s="7" t="str">
        <f aca="false">IF(194&lt;=$B$3,"=","")</f>
        <v/>
      </c>
      <c r="F206" s="8" t="str">
        <f aca="false">IF(194&lt;=$B$3,B206*D206,"")</f>
        <v/>
      </c>
      <c r="G206" s="7" t="str">
        <f aca="false">IF(194&lt;=$B$3,B206&amp;" x "&amp;D206&amp;" = ?","")</f>
        <v/>
      </c>
    </row>
    <row r="207" customFormat="false" ht="15" hidden="false" customHeight="false" outlineLevel="0" collapsed="false">
      <c r="A207" s="7" t="str">
        <f aca="false">IF(195&lt;=$B$3,195,"")</f>
        <v/>
      </c>
      <c r="B207" s="7" t="str">
        <f aca="false">IF(195&lt;=$B$3,IF($B$6="Aralık",RANDBETWEEN(MIN($B$4,$B$5),MAX($B$4,$B$5)),CHOOSE(RANDBETWEEN(1,2),$B$4,$B$5)),"")</f>
        <v/>
      </c>
      <c r="C207" s="7" t="str">
        <f aca="false">IF(195&lt;=$B$3,"x","")</f>
        <v/>
      </c>
      <c r="D207" s="7" t="str">
        <f aca="false">IF(195&lt;=$B$3,RANDBETWEEN(MIN($B$7,$B$8),MAX($B$7,$B$8)),"")</f>
        <v/>
      </c>
      <c r="E207" s="7" t="str">
        <f aca="false">IF(195&lt;=$B$3,"=","")</f>
        <v/>
      </c>
      <c r="F207" s="8" t="str">
        <f aca="false">IF(195&lt;=$B$3,B207*D207,"")</f>
        <v/>
      </c>
      <c r="G207" s="7" t="str">
        <f aca="false">IF(195&lt;=$B$3,B207&amp;" x "&amp;D207&amp;" = ?","")</f>
        <v/>
      </c>
    </row>
    <row r="208" customFormat="false" ht="15" hidden="false" customHeight="false" outlineLevel="0" collapsed="false">
      <c r="A208" s="7" t="str">
        <f aca="false">IF(196&lt;=$B$3,196,"")</f>
        <v/>
      </c>
      <c r="B208" s="7" t="str">
        <f aca="false">IF(196&lt;=$B$3,IF($B$6="Aralık",RANDBETWEEN(MIN($B$4,$B$5),MAX($B$4,$B$5)),CHOOSE(RANDBETWEEN(1,2),$B$4,$B$5)),"")</f>
        <v/>
      </c>
      <c r="C208" s="7" t="str">
        <f aca="false">IF(196&lt;=$B$3,"x","")</f>
        <v/>
      </c>
      <c r="D208" s="7" t="str">
        <f aca="false">IF(196&lt;=$B$3,RANDBETWEEN(MIN($B$7,$B$8),MAX($B$7,$B$8)),"")</f>
        <v/>
      </c>
      <c r="E208" s="7" t="str">
        <f aca="false">IF(196&lt;=$B$3,"=","")</f>
        <v/>
      </c>
      <c r="F208" s="8" t="str">
        <f aca="false">IF(196&lt;=$B$3,B208*D208,"")</f>
        <v/>
      </c>
      <c r="G208" s="7" t="str">
        <f aca="false">IF(196&lt;=$B$3,B208&amp;" x "&amp;D208&amp;" = ?","")</f>
        <v/>
      </c>
    </row>
    <row r="209" customFormat="false" ht="15" hidden="false" customHeight="false" outlineLevel="0" collapsed="false">
      <c r="A209" s="7" t="str">
        <f aca="false">IF(197&lt;=$B$3,197,"")</f>
        <v/>
      </c>
      <c r="B209" s="7" t="str">
        <f aca="false">IF(197&lt;=$B$3,IF($B$6="Aralık",RANDBETWEEN(MIN($B$4,$B$5),MAX($B$4,$B$5)),CHOOSE(RANDBETWEEN(1,2),$B$4,$B$5)),"")</f>
        <v/>
      </c>
      <c r="C209" s="7" t="str">
        <f aca="false">IF(197&lt;=$B$3,"x","")</f>
        <v/>
      </c>
      <c r="D209" s="7" t="str">
        <f aca="false">IF(197&lt;=$B$3,RANDBETWEEN(MIN($B$7,$B$8),MAX($B$7,$B$8)),"")</f>
        <v/>
      </c>
      <c r="E209" s="7" t="str">
        <f aca="false">IF(197&lt;=$B$3,"=","")</f>
        <v/>
      </c>
      <c r="F209" s="8" t="str">
        <f aca="false">IF(197&lt;=$B$3,B209*D209,"")</f>
        <v/>
      </c>
      <c r="G209" s="7" t="str">
        <f aca="false">IF(197&lt;=$B$3,B209&amp;" x "&amp;D209&amp;" = ?","")</f>
        <v/>
      </c>
    </row>
    <row r="210" customFormat="false" ht="15" hidden="false" customHeight="false" outlineLevel="0" collapsed="false">
      <c r="A210" s="7" t="str">
        <f aca="false">IF(198&lt;=$B$3,198,"")</f>
        <v/>
      </c>
      <c r="B210" s="7" t="str">
        <f aca="false">IF(198&lt;=$B$3,IF($B$6="Aralık",RANDBETWEEN(MIN($B$4,$B$5),MAX($B$4,$B$5)),CHOOSE(RANDBETWEEN(1,2),$B$4,$B$5)),"")</f>
        <v/>
      </c>
      <c r="C210" s="7" t="str">
        <f aca="false">IF(198&lt;=$B$3,"x","")</f>
        <v/>
      </c>
      <c r="D210" s="7" t="str">
        <f aca="false">IF(198&lt;=$B$3,RANDBETWEEN(MIN($B$7,$B$8),MAX($B$7,$B$8)),"")</f>
        <v/>
      </c>
      <c r="E210" s="7" t="str">
        <f aca="false">IF(198&lt;=$B$3,"=","")</f>
        <v/>
      </c>
      <c r="F210" s="8" t="str">
        <f aca="false">IF(198&lt;=$B$3,B210*D210,"")</f>
        <v/>
      </c>
      <c r="G210" s="7" t="str">
        <f aca="false">IF(198&lt;=$B$3,B210&amp;" x "&amp;D210&amp;" = ?","")</f>
        <v/>
      </c>
    </row>
    <row r="211" customFormat="false" ht="15" hidden="false" customHeight="false" outlineLevel="0" collapsed="false">
      <c r="A211" s="7" t="str">
        <f aca="false">IF(199&lt;=$B$3,199,"")</f>
        <v/>
      </c>
      <c r="B211" s="7" t="str">
        <f aca="false">IF(199&lt;=$B$3,IF($B$6="Aralık",RANDBETWEEN(MIN($B$4,$B$5),MAX($B$4,$B$5)),CHOOSE(RANDBETWEEN(1,2),$B$4,$B$5)),"")</f>
        <v/>
      </c>
      <c r="C211" s="7" t="str">
        <f aca="false">IF(199&lt;=$B$3,"x","")</f>
        <v/>
      </c>
      <c r="D211" s="7" t="str">
        <f aca="false">IF(199&lt;=$B$3,RANDBETWEEN(MIN($B$7,$B$8),MAX($B$7,$B$8)),"")</f>
        <v/>
      </c>
      <c r="E211" s="7" t="str">
        <f aca="false">IF(199&lt;=$B$3,"=","")</f>
        <v/>
      </c>
      <c r="F211" s="8" t="str">
        <f aca="false">IF(199&lt;=$B$3,B211*D211,"")</f>
        <v/>
      </c>
      <c r="G211" s="7" t="str">
        <f aca="false">IF(199&lt;=$B$3,B211&amp;" x "&amp;D211&amp;" = ?","")</f>
        <v/>
      </c>
    </row>
    <row r="212" customFormat="false" ht="15" hidden="false" customHeight="false" outlineLevel="0" collapsed="false">
      <c r="A212" s="7" t="str">
        <f aca="false">IF(200&lt;=$B$3,200,"")</f>
        <v/>
      </c>
      <c r="B212" s="7" t="str">
        <f aca="false">IF(200&lt;=$B$3,IF($B$6="Aralık",RANDBETWEEN(MIN($B$4,$B$5),MAX($B$4,$B$5)),CHOOSE(RANDBETWEEN(1,2),$B$4,$B$5)),"")</f>
        <v/>
      </c>
      <c r="C212" s="7" t="str">
        <f aca="false">IF(200&lt;=$B$3,"x","")</f>
        <v/>
      </c>
      <c r="D212" s="7" t="str">
        <f aca="false">IF(200&lt;=$B$3,RANDBETWEEN(MIN($B$7,$B$8),MAX($B$7,$B$8)),"")</f>
        <v/>
      </c>
      <c r="E212" s="7" t="str">
        <f aca="false">IF(200&lt;=$B$3,"=","")</f>
        <v/>
      </c>
      <c r="F212" s="8" t="str">
        <f aca="false">IF(200&lt;=$B$3,B212*D212,"")</f>
        <v/>
      </c>
      <c r="G212" s="7" t="str">
        <f aca="false">IF(200&lt;=$B$3,B212&amp;" x "&amp;D212&amp;" = ?","")</f>
        <v/>
      </c>
    </row>
  </sheetData>
  <mergeCells count="2">
    <mergeCell ref="A1:G1"/>
    <mergeCell ref="A10:G10"/>
  </mergeCells>
  <conditionalFormatting sqref="A13:G212">
    <cfRule type="expression" priority="2" aboveAverage="0" equalAverage="0" bottom="0" percent="0" rank="0" text="" dxfId="0">
      <formula>$A13&lt;&gt;""</formula>
    </cfRule>
  </conditionalFormatting>
  <dataValidations count="3">
    <dataValidation allowBlank="false" error="1 ile 200 arasında bir sayı girin." errorStyle="stop" errorTitle="Hatalı değer" operator="between" showDropDown="false" showErrorMessage="true" showInputMessage="false" sqref="B3" type="whole">
      <formula1>1</formula1>
      <formula2>200</formula2>
    </dataValidation>
    <dataValidation allowBlank="false" error="1 ile 100 arasında bir sayı girin." errorStyle="stop" errorTitle="Hatalı değer" operator="between" showDropDown="false" showErrorMessage="true" showInputMessage="false" sqref="B4:B5 B7:B8" type="whole">
      <formula1>1</formula1>
      <formula2>100</formula2>
    </dataValidation>
    <dataValidation allowBlank="false" errorStyle="stop" operator="between" showDropDown="false" showErrorMessage="false" showInputMessage="false" sqref="B6" type="list">
      <formula1>"Aralık,Sadece seçilenler"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2026-10-07T17:38:43Z</dcterms:created>
  <dc:creator>openpyxl</dc:creator>
  <dc:description/>
  <dc:language>en-US</dc:language>
  <cp:lastModifiedBy/>
  <dcterms:modified xsi:type="dcterms:W3CDTF">2026-10-07T17:38:43Z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