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3"/>
    <sheet name="Soru Havuzu" sheetId="2" state="visible" r:id="rId4"/>
    <sheet name="Cevap Anahtarı" sheetId="3" state="visible" r:id="rId5"/>
  </sheets>
  <definedNames>
    <definedName function="false" hidden="false" localSheetId="0" name="_xlnm.Print_Titles" vbProcedure="false">Test!$11:$11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Yeni soru eklemek için son sorunun altındaki boş satıra yazın: Konu, Zorluk (Kolay/Orta/Zor), Soru, A-D seçenekleri ve Doğru Şık. Gri sütunlara dokunmayın.</t>
        </r>
      </text>
    </comment>
  </commentList>
</comments>
</file>

<file path=xl/sharedStrings.xml><?xml version="1.0" encoding="utf-8"?>
<sst xmlns="http://schemas.openxmlformats.org/spreadsheetml/2006/main" count="1829" uniqueCount="485">
  <si>
    <t xml:space="preserve">6. SINIF KÜP SORULARI · RASTGELE TEST</t>
  </si>
  <si>
    <t xml:space="preserve">Soru sayısı</t>
  </si>
  <si>
    <t xml:space="preserve">1 ile 100 arası</t>
  </si>
  <si>
    <t xml:space="preserve">Konu</t>
  </si>
  <si>
    <t xml:space="preserve">Hepsi</t>
  </si>
  <si>
    <t xml:space="preserve">Listeden seçin</t>
  </si>
  <si>
    <t xml:space="preserve">Zorluk</t>
  </si>
  <si>
    <t xml:space="preserve">Hepsi / Kolay / Orta / Zor</t>
  </si>
  <si>
    <t xml:space="preserve">Uygun soru (havuzda)</t>
  </si>
  <si>
    <t xml:space="preserve">Sarı hücreleri değiştirin. Yeni sorular için F9'a basın. Listeyi sabitlemek için: Kopyala → Değerleri Yapıştır.</t>
  </si>
  <si>
    <t xml:space="preserve">Ad Soyad: .................................     Sınıf: ...........     Tarih: ....../....../......</t>
  </si>
  <si>
    <t xml:space="preserve">No</t>
  </si>
  <si>
    <t xml:space="preserve">Soru</t>
  </si>
  <si>
    <t xml:space="preserve">A)</t>
  </si>
  <si>
    <t xml:space="preserve">B)</t>
  </si>
  <si>
    <t xml:space="preserve">C)</t>
  </si>
  <si>
    <t xml:space="preserve">D)</t>
  </si>
  <si>
    <t xml:space="preserve">Havuz satırı</t>
  </si>
  <si>
    <t xml:space="preserve">A</t>
  </si>
  <si>
    <t xml:space="preserve">B</t>
  </si>
  <si>
    <t xml:space="preserve">C</t>
  </si>
  <si>
    <t xml:space="preserve">D</t>
  </si>
  <si>
    <t xml:space="preserve">Doğru Şık</t>
  </si>
  <si>
    <t xml:space="preserve">Uygun</t>
  </si>
  <si>
    <t xml:space="preserve">Rastgele</t>
  </si>
  <si>
    <t xml:space="preserve">Sıra</t>
  </si>
  <si>
    <t xml:space="preserve">Sayının Küpü</t>
  </si>
  <si>
    <t xml:space="preserve">Kolay</t>
  </si>
  <si>
    <t xml:space="preserve">1³ ifadesinin değeri kaçtır?</t>
  </si>
  <si>
    <t xml:space="preserve">4</t>
  </si>
  <si>
    <t xml:space="preserve">1</t>
  </si>
  <si>
    <t xml:space="preserve">2</t>
  </si>
  <si>
    <t xml:space="preserve">3</t>
  </si>
  <si>
    <t xml:space="preserve">2³ ifadesinin değeri kaçtır?</t>
  </si>
  <si>
    <t xml:space="preserve">6</t>
  </si>
  <si>
    <t xml:space="preserve">8</t>
  </si>
  <si>
    <t xml:space="preserve">10</t>
  </si>
  <si>
    <t xml:space="preserve">3³ ifadesinin değeri kaçtır?</t>
  </si>
  <si>
    <t xml:space="preserve">9</t>
  </si>
  <si>
    <t xml:space="preserve">30</t>
  </si>
  <si>
    <t xml:space="preserve">27</t>
  </si>
  <si>
    <t xml:space="preserve">4³ ifadesinin değeri kaçtır?</t>
  </si>
  <si>
    <t xml:space="preserve">64</t>
  </si>
  <si>
    <t xml:space="preserve">68</t>
  </si>
  <si>
    <t xml:space="preserve">12</t>
  </si>
  <si>
    <t xml:space="preserve">16</t>
  </si>
  <si>
    <t xml:space="preserve">5³ ifadesinin değeri kaçtır?</t>
  </si>
  <si>
    <t xml:space="preserve">130</t>
  </si>
  <si>
    <t xml:space="preserve">125</t>
  </si>
  <si>
    <t xml:space="preserve">25</t>
  </si>
  <si>
    <t xml:space="preserve">15</t>
  </si>
  <si>
    <t xml:space="preserve">6³ ifadesinin değeri kaçtır?</t>
  </si>
  <si>
    <t xml:space="preserve">222</t>
  </si>
  <si>
    <t xml:space="preserve">36</t>
  </si>
  <si>
    <t xml:space="preserve">18</t>
  </si>
  <si>
    <t xml:space="preserve">216</t>
  </si>
  <si>
    <t xml:space="preserve">7³ ifadesinin değeri kaçtır?</t>
  </si>
  <si>
    <t xml:space="preserve">343</t>
  </si>
  <si>
    <t xml:space="preserve">49</t>
  </si>
  <si>
    <t xml:space="preserve">21</t>
  </si>
  <si>
    <t xml:space="preserve">350</t>
  </si>
  <si>
    <t xml:space="preserve">8³ ifadesinin değeri kaçtır?</t>
  </si>
  <si>
    <t xml:space="preserve">24</t>
  </si>
  <si>
    <t xml:space="preserve">512</t>
  </si>
  <si>
    <t xml:space="preserve">520</t>
  </si>
  <si>
    <t xml:space="preserve">9³ ifadesinin değeri kaçtır?</t>
  </si>
  <si>
    <t xml:space="preserve">81</t>
  </si>
  <si>
    <t xml:space="preserve">738</t>
  </si>
  <si>
    <t xml:space="preserve">729</t>
  </si>
  <si>
    <t xml:space="preserve">10³ ifadesinin değeri kaçtır?</t>
  </si>
  <si>
    <t xml:space="preserve">1000</t>
  </si>
  <si>
    <t xml:space="preserve">100</t>
  </si>
  <si>
    <t xml:space="preserve">1010</t>
  </si>
  <si>
    <t xml:space="preserve">2 · 2 · 2 çarpımının üslü gösterimi hangisidir?</t>
  </si>
  <si>
    <t xml:space="preserve">2³</t>
  </si>
  <si>
    <t xml:space="preserve">3²</t>
  </si>
  <si>
    <t xml:space="preserve">2²</t>
  </si>
  <si>
    <t xml:space="preserve">2 · 3</t>
  </si>
  <si>
    <t xml:space="preserve">3 · 3 · 3 çarpımının üslü gösterimi hangisidir?</t>
  </si>
  <si>
    <t xml:space="preserve">3³</t>
  </si>
  <si>
    <t xml:space="preserve">3 · 3</t>
  </si>
  <si>
    <t xml:space="preserve">3⁴</t>
  </si>
  <si>
    <t xml:space="preserve">4 · 4 · 4 çarpımının üslü gösterimi hangisidir?</t>
  </si>
  <si>
    <t xml:space="preserve">4³</t>
  </si>
  <si>
    <t xml:space="preserve">4²</t>
  </si>
  <si>
    <t xml:space="preserve">4 · 3</t>
  </si>
  <si>
    <t xml:space="preserve">5 · 5 · 5 çarpımının üslü gösterimi hangisidir?</t>
  </si>
  <si>
    <t xml:space="preserve">5³</t>
  </si>
  <si>
    <t xml:space="preserve">5 · 3</t>
  </si>
  <si>
    <t xml:space="preserve">5²</t>
  </si>
  <si>
    <t xml:space="preserve">3⁵</t>
  </si>
  <si>
    <t xml:space="preserve">6 · 6 · 6 çarpımının üslü gösterimi hangisidir?</t>
  </si>
  <si>
    <t xml:space="preserve">6³</t>
  </si>
  <si>
    <t xml:space="preserve">6 · 3</t>
  </si>
  <si>
    <t xml:space="preserve">6²</t>
  </si>
  <si>
    <t xml:space="preserve">3⁶</t>
  </si>
  <si>
    <t xml:space="preserve">7 · 7 · 7 çarpımının üslü gösterimi hangisidir?</t>
  </si>
  <si>
    <t xml:space="preserve">3⁷</t>
  </si>
  <si>
    <t xml:space="preserve">7²</t>
  </si>
  <si>
    <t xml:space="preserve">7 · 3</t>
  </si>
  <si>
    <t xml:space="preserve">7³</t>
  </si>
  <si>
    <t xml:space="preserve">8 · 8 · 8 çarpımının üslü gösterimi hangisidir?</t>
  </si>
  <si>
    <t xml:space="preserve">3⁸</t>
  </si>
  <si>
    <t xml:space="preserve">8²</t>
  </si>
  <si>
    <t xml:space="preserve">8 · 3</t>
  </si>
  <si>
    <t xml:space="preserve">8³</t>
  </si>
  <si>
    <t xml:space="preserve">9 · 9 · 9 çarpımının üslü gösterimi hangisidir?</t>
  </si>
  <si>
    <t xml:space="preserve">9²</t>
  </si>
  <si>
    <t xml:space="preserve">9³</t>
  </si>
  <si>
    <t xml:space="preserve">9 · 3</t>
  </si>
  <si>
    <t xml:space="preserve">3⁹</t>
  </si>
  <si>
    <t xml:space="preserve">2³ ifadesinin anlamı aşağıdakilerden hangisidir?</t>
  </si>
  <si>
    <t xml:space="preserve">2 · 2 · 2</t>
  </si>
  <si>
    <t xml:space="preserve">2 + 2 + 2</t>
  </si>
  <si>
    <t xml:space="preserve">3³ ifadesinin anlamı aşağıdakilerden hangisidir?</t>
  </si>
  <si>
    <t xml:space="preserve">3 + 3 + 3</t>
  </si>
  <si>
    <t xml:space="preserve">3 · 3 · 3</t>
  </si>
  <si>
    <t xml:space="preserve">4³ ifadesinin anlamı aşağıdakilerden hangisidir?</t>
  </si>
  <si>
    <t xml:space="preserve">4 + 4 + 4</t>
  </si>
  <si>
    <t xml:space="preserve">3 · 3 · 3 · 3</t>
  </si>
  <si>
    <t xml:space="preserve">4 · 4 · 4</t>
  </si>
  <si>
    <t xml:space="preserve">5³ ifadesinin anlamı aşağıdakilerden hangisidir?</t>
  </si>
  <si>
    <t xml:space="preserve">5 + 5 + 5</t>
  </si>
  <si>
    <t xml:space="preserve">3 · 3 · 3 · 3 · 3</t>
  </si>
  <si>
    <t xml:space="preserve">5 · 5 · 5</t>
  </si>
  <si>
    <t xml:space="preserve">6³ ifadesinin anlamı aşağıdakilerden hangisidir?</t>
  </si>
  <si>
    <t xml:space="preserve">6 + 6 + 6</t>
  </si>
  <si>
    <t xml:space="preserve">6 · 6 · 6</t>
  </si>
  <si>
    <t xml:space="preserve">3 · 3 · 3 · 3 · 3 · 3</t>
  </si>
  <si>
    <t xml:space="preserve">7³ ifadesinin anlamı aşağıdakilerden hangisidir?</t>
  </si>
  <si>
    <t xml:space="preserve">7 + 7 + 7</t>
  </si>
  <si>
    <t xml:space="preserve">7 · 7 · 7</t>
  </si>
  <si>
    <t xml:space="preserve">3 · 3 · 3 · 3 · 3 · 3 · 3</t>
  </si>
  <si>
    <t xml:space="preserve">8³ ifadesinin anlamı aşağıdakilerden hangisidir?</t>
  </si>
  <si>
    <t xml:space="preserve">3 · 3 · 3 · 3 · 3 · 3 · 3 · 3</t>
  </si>
  <si>
    <t xml:space="preserve">8 + 8 + 8</t>
  </si>
  <si>
    <t xml:space="preserve">8 · 8 · 8</t>
  </si>
  <si>
    <t xml:space="preserve">9³ ifadesinin anlamı aşağıdakilerden hangisidir?</t>
  </si>
  <si>
    <t xml:space="preserve">9 · 9 · 9</t>
  </si>
  <si>
    <t xml:space="preserve">9 + 9 + 9</t>
  </si>
  <si>
    <t xml:space="preserve">3 · 3 · 3 · 3 · 3 · 3 · 3 · 3 · 3</t>
  </si>
  <si>
    <t xml:space="preserve">Orta</t>
  </si>
  <si>
    <t xml:space="preserve">Küpü 8 olan doğal sayı kaçtır?</t>
  </si>
  <si>
    <t xml:space="preserve">Küpü 27 olan doğal sayı kaçtır?</t>
  </si>
  <si>
    <t xml:space="preserve">5</t>
  </si>
  <si>
    <t xml:space="preserve">Küpü 64 olan doğal sayı kaçtır?</t>
  </si>
  <si>
    <t xml:space="preserve">Küpü 125 olan doğal sayı kaçtır?</t>
  </si>
  <si>
    <t xml:space="preserve">7</t>
  </si>
  <si>
    <t xml:space="preserve">Küpü 216 olan doğal sayı kaçtır?</t>
  </si>
  <si>
    <t xml:space="preserve">Küpü 343 olan doğal sayı kaçtır?</t>
  </si>
  <si>
    <t xml:space="preserve">Küpü 512 olan doğal sayı kaçtır?</t>
  </si>
  <si>
    <t xml:space="preserve">Küpü 729 olan doğal sayı kaçtır?</t>
  </si>
  <si>
    <t xml:space="preserve">11</t>
  </si>
  <si>
    <t xml:space="preserve">Küpü 1000 olan doğal sayı kaçtır?</t>
  </si>
  <si>
    <t xml:space="preserve">2³ + 3² işleminin sonucu kaçtır?</t>
  </si>
  <si>
    <t xml:space="preserve">13</t>
  </si>
  <si>
    <t xml:space="preserve">14</t>
  </si>
  <si>
    <t xml:space="preserve">17</t>
  </si>
  <si>
    <t xml:space="preserve">2³ + 5² işleminin sonucu kaçtır?</t>
  </si>
  <si>
    <t xml:space="preserve">33</t>
  </si>
  <si>
    <t xml:space="preserve">29</t>
  </si>
  <si>
    <t xml:space="preserve">3³ + 2² işleminin sonucu kaçtır?</t>
  </si>
  <si>
    <t xml:space="preserve">32</t>
  </si>
  <si>
    <t xml:space="preserve">31</t>
  </si>
  <si>
    <t xml:space="preserve">35</t>
  </si>
  <si>
    <t xml:space="preserve">3³ + 4² işleminin sonucu kaçtır?</t>
  </si>
  <si>
    <t xml:space="preserve">43</t>
  </si>
  <si>
    <t xml:space="preserve">4³ + 3² işleminin sonucu kaçtır?</t>
  </si>
  <si>
    <t xml:space="preserve">70</t>
  </si>
  <si>
    <t xml:space="preserve">73</t>
  </si>
  <si>
    <t xml:space="preserve">2³ + 7² işleminin sonucu kaçtır?</t>
  </si>
  <si>
    <t xml:space="preserve">57</t>
  </si>
  <si>
    <t xml:space="preserve">53</t>
  </si>
  <si>
    <t xml:space="preserve">20</t>
  </si>
  <si>
    <t xml:space="preserve">22</t>
  </si>
  <si>
    <t xml:space="preserve">5³ + 2² işleminin sonucu kaçtır?</t>
  </si>
  <si>
    <t xml:space="preserve">19</t>
  </si>
  <si>
    <t xml:space="preserve">129</t>
  </si>
  <si>
    <t xml:space="preserve">133</t>
  </si>
  <si>
    <t xml:space="preserve">3³ + 6² işleminin sonucu kaçtır?</t>
  </si>
  <si>
    <t xml:space="preserve">45</t>
  </si>
  <si>
    <t xml:space="preserve">63</t>
  </si>
  <si>
    <t xml:space="preserve">39</t>
  </si>
  <si>
    <t xml:space="preserve">4³ + 5² işleminin sonucu kaçtır?</t>
  </si>
  <si>
    <t xml:space="preserve">74</t>
  </si>
  <si>
    <t xml:space="preserve">41</t>
  </si>
  <si>
    <t xml:space="preserve">89</t>
  </si>
  <si>
    <t xml:space="preserve">2³ + 9² işleminin sonucu kaçtır?</t>
  </si>
  <si>
    <t xml:space="preserve">85</t>
  </si>
  <si>
    <t xml:space="preserve">26</t>
  </si>
  <si>
    <t xml:space="preserve">3³ − 2² işleminin sonucu kaçtır?</t>
  </si>
  <si>
    <t xml:space="preserve">23</t>
  </si>
  <si>
    <t xml:space="preserve">3³ − 4² işleminin sonucu kaçtır?</t>
  </si>
  <si>
    <t xml:space="preserve">4³ − 3² işleminin sonucu kaçtır?</t>
  </si>
  <si>
    <t xml:space="preserve">58</t>
  </si>
  <si>
    <t xml:space="preserve">55</t>
  </si>
  <si>
    <t xml:space="preserve">4³ − 5² işleminin sonucu kaçtır?</t>
  </si>
  <si>
    <t xml:space="preserve">54</t>
  </si>
  <si>
    <t xml:space="preserve">5³ − 3² işleminin sonucu kaçtır?</t>
  </si>
  <si>
    <t xml:space="preserve">116</t>
  </si>
  <si>
    <t xml:space="preserve">119</t>
  </si>
  <si>
    <t xml:space="preserve">5³ − 7² işleminin sonucu kaçtır?</t>
  </si>
  <si>
    <t xml:space="preserve">76</t>
  </si>
  <si>
    <t xml:space="preserve">174</t>
  </si>
  <si>
    <t xml:space="preserve">111</t>
  </si>
  <si>
    <t xml:space="preserve">4³ − 7² işleminin sonucu kaçtır?</t>
  </si>
  <si>
    <t xml:space="preserve">113</t>
  </si>
  <si>
    <t xml:space="preserve">50</t>
  </si>
  <si>
    <t xml:space="preserve">5³ − 10² işleminin sonucu kaçtır?</t>
  </si>
  <si>
    <t xml:space="preserve">105</t>
  </si>
  <si>
    <t xml:space="preserve">225</t>
  </si>
  <si>
    <t xml:space="preserve">Aşağıdakilerden hangisinin değeri en büyüktür?</t>
  </si>
  <si>
    <t xml:space="preserve">10²</t>
  </si>
  <si>
    <t xml:space="preserve">Aşağıdakilerden hangisinin değeri en küçüktür?</t>
  </si>
  <si>
    <t xml:space="preserve">2⁵</t>
  </si>
  <si>
    <t xml:space="preserve">Aşağıdakilerden hangisi bir doğal sayının küpü değildir?</t>
  </si>
  <si>
    <t xml:space="preserve">Aşağıdakilerden hangisi bir doğal sayının küpüdür?</t>
  </si>
  <si>
    <t xml:space="preserve">Zor</t>
  </si>
  <si>
    <t xml:space="preserve">3³ − 4 · 5 + 2 işleminin sonucu kaçtır?</t>
  </si>
  <si>
    <t xml:space="preserve">117</t>
  </si>
  <si>
    <t xml:space="preserve">2³ − 3 · 2 + 5 işleminin sonucu kaçtır?</t>
  </si>
  <si>
    <t xml:space="preserve">4³ − 6 · 7 + 3 işleminin sonucu kaçtır?</t>
  </si>
  <si>
    <t xml:space="preserve">409</t>
  </si>
  <si>
    <t xml:space="preserve">5³ − 10 · 9 + 4 işleminin sonucu kaçtır?</t>
  </si>
  <si>
    <t xml:space="preserve">40</t>
  </si>
  <si>
    <t xml:space="preserve">1039</t>
  </si>
  <si>
    <t xml:space="preserve">3³ − 2 · 8 + 6 işleminin sonucu kaçtır?</t>
  </si>
  <si>
    <t xml:space="preserve">206</t>
  </si>
  <si>
    <t xml:space="preserve">4³ − 5 · 8 + 1 işleminin sonucu kaçtır?</t>
  </si>
  <si>
    <t xml:space="preserve">473</t>
  </si>
  <si>
    <t xml:space="preserve">2³ − 1 · 6 + 9 işleminin sonucu kaçtır?</t>
  </si>
  <si>
    <t xml:space="preserve">51</t>
  </si>
  <si>
    <t xml:space="preserve">5³ − 4 · 20 + 7 işleminin sonucu kaçtır?</t>
  </si>
  <si>
    <t xml:space="preserve">2427</t>
  </si>
  <si>
    <t xml:space="preserve">38</t>
  </si>
  <si>
    <t xml:space="preserve">52</t>
  </si>
  <si>
    <t xml:space="preserve">(1 + 2)³ ifadesinin değeri kaçtır?</t>
  </si>
  <si>
    <t xml:space="preserve">28</t>
  </si>
  <si>
    <t xml:space="preserve">(1 + 3)³ ifadesinin değeri kaçtır?</t>
  </si>
  <si>
    <t xml:space="preserve">(2 + 2)³ ifadesinin değeri kaçtır?</t>
  </si>
  <si>
    <t xml:space="preserve">(2 + 3)³ ifadesinin değeri kaçtır?</t>
  </si>
  <si>
    <t xml:space="preserve">(1 + 4)³ ifadesinin değeri kaçtır?</t>
  </si>
  <si>
    <t xml:space="preserve">65</t>
  </si>
  <si>
    <t xml:space="preserve">(3 + 3)³ ifadesinin değeri kaçtır?</t>
  </si>
  <si>
    <t xml:space="preserve">(2 + 4)³ ifadesinin değeri kaçtır?</t>
  </si>
  <si>
    <t xml:space="preserve">72</t>
  </si>
  <si>
    <t xml:space="preserve">(1 + 5)³ ifadesinin değeri kaçtır?</t>
  </si>
  <si>
    <t xml:space="preserve">126</t>
  </si>
  <si>
    <t xml:space="preserve">Bir doğal sayının küpünün 5 fazlası 32'dir. Bu sayı kaçtır?</t>
  </si>
  <si>
    <t xml:space="preserve">Bir doğal sayının küpünün 6 fazlası 70'dir. Bu sayı kaçtır?</t>
  </si>
  <si>
    <t xml:space="preserve">Bir doğal sayının küpünün 9 fazlası 17'dir. Bu sayı kaçtır?</t>
  </si>
  <si>
    <t xml:space="preserve">Bir doğal sayının küpünün 11 fazlası 136'dir. Bu sayı kaçtır?</t>
  </si>
  <si>
    <t xml:space="preserve">Bir doğal sayının küpünün 4 fazlası 220'dir. Bu sayı kaçtır?</t>
  </si>
  <si>
    <t xml:space="preserve">Bir doğal sayının küpünün 13 fazlası 40'dir. Bu sayı kaçtır?</t>
  </si>
  <si>
    <t xml:space="preserve">Bir doğal sayının küpünün 10 fazlası 74'dir. Bu sayı kaçtır?</t>
  </si>
  <si>
    <t xml:space="preserve">Bir doğal sayının küpünün 7 fazlası 350'dir. Bu sayı kaçtır?</t>
  </si>
  <si>
    <t xml:space="preserve">Bir doğal sayının küpü 8'dir. Bu sayının 5 fazlasının karesi kaçtır?</t>
  </si>
  <si>
    <t xml:space="preserve">Bir doğal sayının küpü 27'dir. Bu sayının 4 fazlasının karesi kaçtır?</t>
  </si>
  <si>
    <t xml:space="preserve">Bir doğal sayının küpü 64'dir. Bu sayının 2 fazlasının karesi kaçtır?</t>
  </si>
  <si>
    <t xml:space="preserve">66</t>
  </si>
  <si>
    <t xml:space="preserve">Bir doğal sayının küpü 125'dir. Bu sayının 3 fazlasının karesi kaçtır?</t>
  </si>
  <si>
    <t xml:space="preserve">128</t>
  </si>
  <si>
    <t xml:space="preserve">Bir doğal sayının küpü 8'dir. Bu sayının 10 fazlasının karesi kaçtır?</t>
  </si>
  <si>
    <t xml:space="preserve">144</t>
  </si>
  <si>
    <t xml:space="preserve">Bir doğal sayının küpü 27'dir. Bu sayının 9 fazlasının karesi kaçtır?</t>
  </si>
  <si>
    <t xml:space="preserve">Küpün Hacmi</t>
  </si>
  <si>
    <t xml:space="preserve">Bir ayrıtı 2 cm olan küpün hacmi kaç cm³'tür?</t>
  </si>
  <si>
    <t xml:space="preserve">Bir ayrıtı 3 cm olan küpün hacmi kaç cm³'tür?</t>
  </si>
  <si>
    <t xml:space="preserve">Bir ayrıtı 4 cm olan küpün hacmi kaç cm³'tür?</t>
  </si>
  <si>
    <t xml:space="preserve">96</t>
  </si>
  <si>
    <t xml:space="preserve">Bir ayrıtı 5 cm olan küpün hacmi kaç cm³'tür?</t>
  </si>
  <si>
    <t xml:space="preserve">150</t>
  </si>
  <si>
    <t xml:space="preserve">Bir ayrıtı 6 cm olan küpün hacmi kaç cm³'tür?</t>
  </si>
  <si>
    <t xml:space="preserve">Bir ayrıtı 7 cm olan küpün hacmi kaç cm³'tür?</t>
  </si>
  <si>
    <t xml:space="preserve">294</t>
  </si>
  <si>
    <t xml:space="preserve">Bir ayrıtı 8 cm olan küpün hacmi kaç cm³'tür?</t>
  </si>
  <si>
    <t xml:space="preserve">384</t>
  </si>
  <si>
    <t xml:space="preserve">Bir ayrıtı 9 cm olan küpün hacmi kaç cm³'tür?</t>
  </si>
  <si>
    <t xml:space="preserve">486</t>
  </si>
  <si>
    <t xml:space="preserve">Bir ayrıtı 10 cm olan küpün hacmi kaç cm³'tür?</t>
  </si>
  <si>
    <t xml:space="preserve">600</t>
  </si>
  <si>
    <t xml:space="preserve">Bir ayrıtı 11 cm olan küpün hacmi kaç cm³'tür?</t>
  </si>
  <si>
    <t xml:space="preserve">726</t>
  </si>
  <si>
    <t xml:space="preserve">1331</t>
  </si>
  <si>
    <t xml:space="preserve">121</t>
  </si>
  <si>
    <t xml:space="preserve">Bir ayrıtı 12 cm olan küpün hacmi kaç cm³'tür?</t>
  </si>
  <si>
    <t xml:space="preserve">1728</t>
  </si>
  <si>
    <t xml:space="preserve">864</t>
  </si>
  <si>
    <t xml:space="preserve">Bir ayrıtı 5 birim olan küp kaç birim küpten oluşur?</t>
  </si>
  <si>
    <t xml:space="preserve">Bir ayrıtı 6 birim olan küp kaç birim küpten oluşur?</t>
  </si>
  <si>
    <t xml:space="preserve">217</t>
  </si>
  <si>
    <t xml:space="preserve">Bir ayrıtı 7 birim olan küp kaç birim küpten oluşur?</t>
  </si>
  <si>
    <t xml:space="preserve">Bir ayrıtı 8 birim olan küp kaç birim küpten oluşur?</t>
  </si>
  <si>
    <t xml:space="preserve">Hacmi 8 cm³ olan küpün bir ayrıtı kaç cm'dir?</t>
  </si>
  <si>
    <t xml:space="preserve">Hacmi 27 cm³ olan küpün bir ayrıtı kaç cm'dir?</t>
  </si>
  <si>
    <t xml:space="preserve">Hacmi 64 cm³ olan küpün bir ayrıtı kaç cm'dir?</t>
  </si>
  <si>
    <t xml:space="preserve">Hacmi 125 cm³ olan küpün bir ayrıtı kaç cm'dir?</t>
  </si>
  <si>
    <t xml:space="preserve">Hacmi 216 cm³ olan küpün bir ayrıtı kaç cm'dir?</t>
  </si>
  <si>
    <t xml:space="preserve">Hacmi 343 cm³ olan küpün bir ayrıtı kaç cm'dir?</t>
  </si>
  <si>
    <t xml:space="preserve">114</t>
  </si>
  <si>
    <t xml:space="preserve">Hacmi 512 cm³ olan küpün bir ayrıtı kaç cm'dir?</t>
  </si>
  <si>
    <t xml:space="preserve">170</t>
  </si>
  <si>
    <t xml:space="preserve">Hacmi 729 cm³ olan küpün bir ayrıtı kaç cm'dir?</t>
  </si>
  <si>
    <t xml:space="preserve">243</t>
  </si>
  <si>
    <t xml:space="preserve">Hacmi 1000 cm³ olan küpün bir ayrıtı kaç cm'dir?</t>
  </si>
  <si>
    <t xml:space="preserve">333</t>
  </si>
  <si>
    <t xml:space="preserve">Bir ayrıtı 4 cm olan küp şeklindeki bir kutunun içine, bir ayrıtı 2 cm olan küp şeklindeki kutulardan en fazla kaç tane yerleştirilebilir?</t>
  </si>
  <si>
    <t xml:space="preserve">Bir ayrıtı 6 cm olan küp şeklindeki bir kutunun içine, bir ayrıtı 2 cm olan küp şeklindeki kutulardan en fazla kaç tane yerleştirilebilir?</t>
  </si>
  <si>
    <t xml:space="preserve">Bir ayrıtı 6 cm olan küp şeklindeki bir kutunun içine, bir ayrıtı 3 cm olan küp şeklindeki kutulardan en fazla kaç tane yerleştirilebilir?</t>
  </si>
  <si>
    <t xml:space="preserve">Bir ayrıtı 8 cm olan küp şeklindeki bir kutunun içine, bir ayrıtı 2 cm olan küp şeklindeki kutulardan en fazla kaç tane yerleştirilebilir?</t>
  </si>
  <si>
    <t xml:space="preserve">Bir ayrıtı 8 cm olan küp şeklindeki bir kutunun içine, bir ayrıtı 4 cm olan küp şeklindeki kutulardan en fazla kaç tane yerleştirilebilir?</t>
  </si>
  <si>
    <t xml:space="preserve">Bir ayrıtı 9 cm olan küp şeklindeki bir kutunun içine, bir ayrıtı 3 cm olan küp şeklindeki kutulardan en fazla kaç tane yerleştirilebilir?</t>
  </si>
  <si>
    <t xml:space="preserve">Bir ayrıtı 10 cm olan küp şeklindeki bir kutunun içine, bir ayrıtı 5 cm olan küp şeklindeki kutulardan en fazla kaç tane yerleştirilebilir?</t>
  </si>
  <si>
    <t xml:space="preserve">Bir ayrıtı 12 cm olan küp şeklindeki bir kutunun içine, bir ayrıtı 3 cm olan küp şeklindeki kutulardan en fazla kaç tane yerleştirilebilir?</t>
  </si>
  <si>
    <t xml:space="preserve">Bir ayrıtı 12 cm olan küp şeklindeki bir kutunun içine, bir ayrıtı 4 cm olan küp şeklindeki kutulardan en fazla kaç tane yerleştirilebilir?</t>
  </si>
  <si>
    <t xml:space="preserve">Bir ayrıtı 10 cm olan küp şeklindeki bir kutunun içine, bir ayrıtı 2 cm olan küp şeklindeki kutulardan en fazla kaç tane yerleştirilebilir?</t>
  </si>
  <si>
    <t xml:space="preserve">Bir ayrıtı 2 cm olan 3 tane küp, aralarında boşluk kalmayacak şekilde üst üste konuyor. Oluşan prizmanın hacmi kaç cm³'tür?</t>
  </si>
  <si>
    <t xml:space="preserve">Bir ayrıtı 3 cm olan 2 tane küp, aralarında boşluk kalmayacak şekilde üst üste konuyor. Oluşan prizmanın hacmi kaç cm³'tür?</t>
  </si>
  <si>
    <t xml:space="preserve">Bir ayrıtı 2 cm olan 5 tane küp, aralarında boşluk kalmayacak şekilde üst üste konuyor. Oluşan prizmanın hacmi kaç cm³'tür?</t>
  </si>
  <si>
    <t xml:space="preserve">Bir ayrıtı 4 cm olan 3 tane küp, aralarında boşluk kalmayacak şekilde üst üste konuyor. Oluşan prizmanın hacmi kaç cm³'tür?</t>
  </si>
  <si>
    <t xml:space="preserve">48</t>
  </si>
  <si>
    <t xml:space="preserve">192</t>
  </si>
  <si>
    <t xml:space="preserve">67</t>
  </si>
  <si>
    <t xml:space="preserve">Bir ayrıtı 3 cm olan 4 tane küp, aralarında boşluk kalmayacak şekilde üst üste konuyor. Oluşan prizmanın hacmi kaç cm³'tür?</t>
  </si>
  <si>
    <t xml:space="preserve">108</t>
  </si>
  <si>
    <t xml:space="preserve">Bir ayrıtı 5 cm olan 2 tane küp, aralarında boşluk kalmayacak şekilde üst üste konuyor. Oluşan prizmanın hacmi kaç cm³'tür?</t>
  </si>
  <si>
    <t xml:space="preserve">127</t>
  </si>
  <si>
    <t xml:space="preserve">250</t>
  </si>
  <si>
    <t xml:space="preserve">Bir ayrıtı 2 birim olan küp şeklindeki yapıyı, bir ayrıtı 3 birim olan küpe tamamlamak için en az kaç birim küp gerekir?</t>
  </si>
  <si>
    <t xml:space="preserve">Bir ayrıtı 2 birim olan küp şeklindeki yapıyı, bir ayrıtı 4 birim olan küpe tamamlamak için en az kaç birim küp gerekir?</t>
  </si>
  <si>
    <t xml:space="preserve">56</t>
  </si>
  <si>
    <t xml:space="preserve">Bir ayrıtı 3 birim olan küp şeklindeki yapıyı, bir ayrıtı 4 birim olan küpe tamamlamak için en az kaç birim küp gerekir?</t>
  </si>
  <si>
    <t xml:space="preserve">37</t>
  </si>
  <si>
    <t xml:space="preserve">Bir ayrıtı 3 birim olan küp şeklindeki yapıyı, bir ayrıtı 5 birim olan küpe tamamlamak için en az kaç birim küp gerekir?</t>
  </si>
  <si>
    <t xml:space="preserve">98</t>
  </si>
  <si>
    <t xml:space="preserve">Bir ayrıtı 1 birim olan küp şeklindeki yapıyı, bir ayrıtı 3 birim olan küpe tamamlamak için en az kaç birim küp gerekir?</t>
  </si>
  <si>
    <t xml:space="preserve">Bir ayrıtı 4 birim olan küp şeklindeki yapıyı, bir ayrıtı 5 birim olan küpe tamamlamak için en az kaç birim küp gerekir?</t>
  </si>
  <si>
    <t xml:space="preserve">61</t>
  </si>
  <si>
    <t xml:space="preserve">Bir ayrıtı 2 birim olan küp şeklindeki yapıyı, bir ayrıtı 5 birim olan küpe tamamlamak için en az kaç birim küp gerekir?</t>
  </si>
  <si>
    <t xml:space="preserve">Bir ayrıtı 1 birim olan küp şeklindeki yapıyı, bir ayrıtı 4 birim olan küpe tamamlamak için en az kaç birim küp gerekir?</t>
  </si>
  <si>
    <t xml:space="preserve">Bir ayrıtı 2 dm olan küp şeklindeki boş akvaryum tamamen doldurulursa kaç litre su alır? (1 dm³ = 1 L)</t>
  </si>
  <si>
    <t xml:space="preserve">8 L</t>
  </si>
  <si>
    <t xml:space="preserve">6 L</t>
  </si>
  <si>
    <t xml:space="preserve">4 L</t>
  </si>
  <si>
    <t xml:space="preserve">24 L</t>
  </si>
  <si>
    <t xml:space="preserve">Bir ayrıtı 3 dm olan küp şeklindeki boş akvaryum tamamen doldurulursa kaç litre su alır? (1 dm³ = 1 L)</t>
  </si>
  <si>
    <t xml:space="preserve">9 L</t>
  </si>
  <si>
    <t xml:space="preserve">28 L</t>
  </si>
  <si>
    <t xml:space="preserve">27 L</t>
  </si>
  <si>
    <t xml:space="preserve">54 L</t>
  </si>
  <si>
    <t xml:space="preserve">Bir ayrıtı 4 dm olan küp şeklindeki boş akvaryum tamamen doldurulursa kaç litre su alır? (1 dm³ = 1 L)</t>
  </si>
  <si>
    <t xml:space="preserve">16 L</t>
  </si>
  <si>
    <t xml:space="preserve">64 L</t>
  </si>
  <si>
    <t xml:space="preserve">12 L</t>
  </si>
  <si>
    <t xml:space="preserve">96 L</t>
  </si>
  <si>
    <t xml:space="preserve">Bir ayrıtı 5 dm olan küp şeklindeki boş akvaryum tamamen doldurulursa kaç litre su alır? (1 dm³ = 1 L)</t>
  </si>
  <si>
    <t xml:space="preserve">25 L</t>
  </si>
  <si>
    <t xml:space="preserve">150 L</t>
  </si>
  <si>
    <t xml:space="preserve">125 L</t>
  </si>
  <si>
    <t xml:space="preserve">15 L</t>
  </si>
  <si>
    <t xml:space="preserve">Bir ayrıtı 6 dm olan küp şeklindeki boş akvaryum tamamen doldurulursa kaç litre su alır? (1 dm³ = 1 L)</t>
  </si>
  <si>
    <t xml:space="preserve">216 L</t>
  </si>
  <si>
    <t xml:space="preserve">36 L</t>
  </si>
  <si>
    <t xml:space="preserve">18 L</t>
  </si>
  <si>
    <t xml:space="preserve">217 L</t>
  </si>
  <si>
    <t xml:space="preserve">Bir ayrıtı 7 dm olan küp şeklindeki boş akvaryum tamamen doldurulursa kaç litre su alır? (1 dm³ = 1 L)</t>
  </si>
  <si>
    <t xml:space="preserve">343 L</t>
  </si>
  <si>
    <t xml:space="preserve">21 L</t>
  </si>
  <si>
    <t xml:space="preserve">294 L</t>
  </si>
  <si>
    <t xml:space="preserve">49 L</t>
  </si>
  <si>
    <t xml:space="preserve">Bir ayrıtı 8 dm olan küp şeklindeki boş akvaryum tamamen doldurulursa kaç litre su alır? (1 dm³ = 1 L)</t>
  </si>
  <si>
    <t xml:space="preserve">512 L</t>
  </si>
  <si>
    <t xml:space="preserve">384 L</t>
  </si>
  <si>
    <t xml:space="preserve">Bir ayrıtı 9 dm olan küp şeklindeki boş akvaryum tamamen doldurulursa kaç litre su alır? (1 dm³ = 1 L)</t>
  </si>
  <si>
    <t xml:space="preserve">729 L</t>
  </si>
  <si>
    <t xml:space="preserve">486 L</t>
  </si>
  <si>
    <t xml:space="preserve">81 L</t>
  </si>
  <si>
    <t xml:space="preserve">Bir ayrıtı 10 cm olan küp şeklindeki su deposu kaç litre su alır? (1 L = 1000 cm³)</t>
  </si>
  <si>
    <t xml:space="preserve">1 L</t>
  </si>
  <si>
    <t xml:space="preserve">3 L</t>
  </si>
  <si>
    <t xml:space="preserve">10 L</t>
  </si>
  <si>
    <t xml:space="preserve">100 L</t>
  </si>
  <si>
    <t xml:space="preserve">Bir ayrıtı 20 cm olan küp şeklindeki su deposu kaç litre su alır? (1 L = 1000 cm³)</t>
  </si>
  <si>
    <t xml:space="preserve">80 L</t>
  </si>
  <si>
    <t xml:space="preserve">Bir ayrıtı 30 cm olan küp şeklindeki su deposu kaç litre su alır? (1 L = 1000 cm³)</t>
  </si>
  <si>
    <t xml:space="preserve">270 L</t>
  </si>
  <si>
    <t xml:space="preserve">2700 L</t>
  </si>
  <si>
    <t xml:space="preserve">Bir ayrıtı 40 cm olan küp şeklindeki su deposu kaç litre su alır? (1 L = 1000 cm³)</t>
  </si>
  <si>
    <t xml:space="preserve">640 L</t>
  </si>
  <si>
    <t xml:space="preserve">Bir ayrıtı 50 cm olan küp şeklindeki su deposu kaç litre su alır? (1 L = 1000 cm³)</t>
  </si>
  <si>
    <t xml:space="preserve">1250 L</t>
  </si>
  <si>
    <t xml:space="preserve">Bir küpün ayrıt uzunluğu 2 katına çıkarılırsa hacmi kaç katına çıkar?</t>
  </si>
  <si>
    <t xml:space="preserve">Bir küpün ayrıt uzunluğu 3 katına çıkarılırsa hacmi kaç katına çıkar?</t>
  </si>
  <si>
    <t xml:space="preserve">Bir küpün ayrıt uzunluğu 4 katına çıkarılırsa hacmi kaç katına çıkar?</t>
  </si>
  <si>
    <t xml:space="preserve">Bir küpün ayrıt uzunluğu 5 katına çıkarılırsa hacmi kaç katına çıkar?</t>
  </si>
  <si>
    <t xml:space="preserve">Küpün Özellikleri</t>
  </si>
  <si>
    <t xml:space="preserve">Küpün kaç yüzü vardır?</t>
  </si>
  <si>
    <t xml:space="preserve">Küpün kaç ayrıtı vardır?</t>
  </si>
  <si>
    <t xml:space="preserve">Küpün kaç köşesi vardır?</t>
  </si>
  <si>
    <t xml:space="preserve">Küpün yüzleri hangi geometrik şekle sahiptir?</t>
  </si>
  <si>
    <t xml:space="preserve">Üçgen</t>
  </si>
  <si>
    <t xml:space="preserve">Dikdörtgen</t>
  </si>
  <si>
    <t xml:space="preserve">Beşgen</t>
  </si>
  <si>
    <t xml:space="preserve">Kare</t>
  </si>
  <si>
    <t xml:space="preserve">Küpün bir köşesinde kaç ayrıt birleşir?</t>
  </si>
  <si>
    <t xml:space="preserve">Küpün bir yüzünde kaç ayrıt bulunur?</t>
  </si>
  <si>
    <t xml:space="preserve">Aşağıdakilerden hangisi küp şeklindedir?</t>
  </si>
  <si>
    <t xml:space="preserve">Konserve kutusu</t>
  </si>
  <si>
    <t xml:space="preserve">Zar</t>
  </si>
  <si>
    <t xml:space="preserve">Dondurma külahı</t>
  </si>
  <si>
    <t xml:space="preserve">Top</t>
  </si>
  <si>
    <t xml:space="preserve">Küp ile ilgili aşağıdakilerden hangisi yanlıştır?</t>
  </si>
  <si>
    <t xml:space="preserve">Tüm yüzleri karedir</t>
  </si>
  <si>
    <t xml:space="preserve">12 ayrıtı vardır</t>
  </si>
  <si>
    <t xml:space="preserve">Ayrıtları farklı uzunluktadır</t>
  </si>
  <si>
    <t xml:space="preserve">8 köşesi vardır</t>
  </si>
  <si>
    <t xml:space="preserve">Bir ayrıtı 2 cm olan küpün tüm ayrıtlarının uzunlukları toplamı kaç cm'dir?</t>
  </si>
  <si>
    <t xml:space="preserve">Bir ayrıtı 3 cm olan küpün tüm ayrıtlarının uzunlukları toplamı kaç cm'dir?</t>
  </si>
  <si>
    <t xml:space="preserve">Bir ayrıtı 4 cm olan küpün tüm ayrıtlarının uzunlukları toplamı kaç cm'dir?</t>
  </si>
  <si>
    <t xml:space="preserve">Bir ayrıtı 5 cm olan küpün tüm ayrıtlarının uzunlukları toplamı kaç cm'dir?</t>
  </si>
  <si>
    <t xml:space="preserve">60</t>
  </si>
  <si>
    <t xml:space="preserve">Bir ayrıtı 6 cm olan küpün tüm ayrıtlarının uzunlukları toplamı kaç cm'dir?</t>
  </si>
  <si>
    <t xml:space="preserve">Bir ayrıtı 7 cm olan küpün tüm ayrıtlarının uzunlukları toplamı kaç cm'dir?</t>
  </si>
  <si>
    <t xml:space="preserve">42</t>
  </si>
  <si>
    <t xml:space="preserve">84</t>
  </si>
  <si>
    <t xml:space="preserve">Bir ayrıtı 8 cm olan küpün tüm ayrıtlarının uzunlukları toplamı kaç cm'dir?</t>
  </si>
  <si>
    <t xml:space="preserve">Bir ayrıtı 9 cm olan küpün tüm ayrıtlarının uzunlukları toplamı kaç cm'dir?</t>
  </si>
  <si>
    <t xml:space="preserve">Bir ayrıtı 10 cm olan küpün tüm ayrıtlarının uzunlukları toplamı kaç cm'dir?</t>
  </si>
  <si>
    <t xml:space="preserve">120</t>
  </si>
  <si>
    <t xml:space="preserve">80</t>
  </si>
  <si>
    <t xml:space="preserve">Bir ayrıtı 2 cm olan küpün yüzey alanı kaç cm²'dir?</t>
  </si>
  <si>
    <t xml:space="preserve">Bir ayrıtı 3 cm olan küpün yüzey alanı kaç cm²'dir?</t>
  </si>
  <si>
    <t xml:space="preserve">Bir ayrıtı 4 cm olan küpün yüzey alanı kaç cm²'dir?</t>
  </si>
  <si>
    <t xml:space="preserve">Bir ayrıtı 5 cm olan küpün yüzey alanı kaç cm²'dir?</t>
  </si>
  <si>
    <t xml:space="preserve">Bir ayrıtı 6 cm olan küpün yüzey alanı kaç cm²'dir?</t>
  </si>
  <si>
    <t xml:space="preserve">Bir ayrıtı 7 cm olan küpün yüzey alanı kaç cm²'dir?</t>
  </si>
  <si>
    <t xml:space="preserve">196</t>
  </si>
  <si>
    <t xml:space="preserve">Bir ayrıtı 8 cm olan küpün yüzey alanı kaç cm²'dir?</t>
  </si>
  <si>
    <t xml:space="preserve">256</t>
  </si>
  <si>
    <t xml:space="preserve">Bir ayrıtı 9 cm olan küpün yüzey alanı kaç cm²'dir?</t>
  </si>
  <si>
    <t xml:space="preserve">324</t>
  </si>
  <si>
    <t xml:space="preserve">Bir ayrıtı 10 cm olan küpün yüzey alanı kaç cm²'dir?</t>
  </si>
  <si>
    <t xml:space="preserve">400</t>
  </si>
  <si>
    <t xml:space="preserve">Bir yüzünün alanı 4 cm² olan küpün bir ayrıtı kaç cm'dir?</t>
  </si>
  <si>
    <t xml:space="preserve">Bir yüzünün alanı 9 cm² olan küpün bir ayrıtı kaç cm'dir?</t>
  </si>
  <si>
    <t xml:space="preserve">Bir yüzünün alanı 16 cm² olan küpün bir ayrıtı kaç cm'dir?</t>
  </si>
  <si>
    <t xml:space="preserve">Bir yüzünün alanı 25 cm² olan küpün bir ayrıtı kaç cm'dir?</t>
  </si>
  <si>
    <t xml:space="preserve">Bir yüzünün alanı 36 cm² olan küpün bir ayrıtı kaç cm'dir?</t>
  </si>
  <si>
    <t xml:space="preserve">Bir yüzünün alanı 49 cm² olan küpün bir ayrıtı kaç cm'dir?</t>
  </si>
  <si>
    <t xml:space="preserve">Bir yüzünün alanı 64 cm² olan küpün bir ayrıtı kaç cm'dir?</t>
  </si>
  <si>
    <t xml:space="preserve">Tüm ayrıtlarının uzunlukları toplamı 24 cm olan küpün hacmi kaç cm³'tür?</t>
  </si>
  <si>
    <t xml:space="preserve">576</t>
  </si>
  <si>
    <t xml:space="preserve">Tüm ayrıtlarının uzunlukları toplamı 36 cm olan küpün hacmi kaç cm³'tür?</t>
  </si>
  <si>
    <t xml:space="preserve">1296</t>
  </si>
  <si>
    <t xml:space="preserve">Tüm ayrıtlarının uzunlukları toplamı 48 cm olan küpün hacmi kaç cm³'tür?</t>
  </si>
  <si>
    <t xml:space="preserve">2304</t>
  </si>
  <si>
    <t xml:space="preserve">Tüm ayrıtlarının uzunlukları toplamı 60 cm olan küpün hacmi kaç cm³'tür?</t>
  </si>
  <si>
    <t xml:space="preserve">3600</t>
  </si>
  <si>
    <t xml:space="preserve">Tüm ayrıtlarının uzunlukları toplamı 72 cm olan küpün hacmi kaç cm³'tür?</t>
  </si>
  <si>
    <t xml:space="preserve">5184</t>
  </si>
  <si>
    <t xml:space="preserve">Tüm ayrıtlarının uzunlukları toplamı 84 cm olan küpün hacmi kaç cm³'tür?</t>
  </si>
  <si>
    <t xml:space="preserve">7056</t>
  </si>
  <si>
    <t xml:space="preserve">Tüm ayrıtlarının uzunlukları toplamı 96 cm olan küpün hacmi kaç cm³'tür?</t>
  </si>
  <si>
    <t xml:space="preserve">9216</t>
  </si>
  <si>
    <t xml:space="preserve">Yüzey alanı 24 cm² olan küpün hacmi kaç cm³'tür?</t>
  </si>
  <si>
    <t xml:space="preserve">Yüzey alanı 54 cm² olan küpün hacmi kaç cm³'tür?</t>
  </si>
  <si>
    <t xml:space="preserve">Yüzey alanı 96 cm² olan küpün hacmi kaç cm³'tür?</t>
  </si>
  <si>
    <t xml:space="preserve">Yüzey alanı 150 cm² olan küpün hacmi kaç cm³'tür?</t>
  </si>
  <si>
    <t xml:space="preserve">75</t>
  </si>
  <si>
    <t xml:space="preserve">Yüzey alanı 216 cm² olan küpün hacmi kaç cm³'tür?</t>
  </si>
  <si>
    <t xml:space="preserve">Yüzey alanı 294 cm² olan küpün hacmi kaç cm³'tür?</t>
  </si>
  <si>
    <t xml:space="preserve">147</t>
  </si>
  <si>
    <t xml:space="preserve">Bir ayrıtı 3 birim olan küp, birim küplerden oluşturuluyor ve dış yüzeyinin tamamı boyanıyor. Hiç boyanmamış kaç birim küp vardır?</t>
  </si>
  <si>
    <t xml:space="preserve">Bir ayrıtı 3 birim olan küp, birim küplerden oluşturuluyor ve dış yüzeyinin tamamı boyanıyor. Yalnızca 1 yüzü boyalı kaç birim küp vardır?</t>
  </si>
  <si>
    <t xml:space="preserve">Bir ayrıtı 3 birim olan küp, birim küplerden oluşturuluyor ve dış yüzeyinin tamamı boyanıyor. Yalnızca 2 yüzü boyalı kaç birim küp vardır?</t>
  </si>
  <si>
    <t xml:space="preserve">Bir ayrıtı 4 birim olan küp, birim küplerden oluşturuluyor ve dış yüzeyinin tamamı boyanıyor. Hiç boyanmamış kaç birim küp vardır?</t>
  </si>
  <si>
    <t xml:space="preserve">Bir ayrıtı 4 birim olan küp, birim küplerden oluşturuluyor ve dış yüzeyinin tamamı boyanıyor. Yalnızca 1 yüzü boyalı kaç birim küp vardır?</t>
  </si>
  <si>
    <t xml:space="preserve">Bir ayrıtı 4 birim olan küp, birim küplerden oluşturuluyor ve dış yüzeyinin tamamı boyanıyor. Yalnızca 2 yüzü boyalı kaç birim küp vardır?</t>
  </si>
  <si>
    <t xml:space="preserve">Bir ayrıtı 5 birim olan küp, birim küplerden oluşturuluyor ve dış yüzeyinin tamamı boyanıyor. Hiç boyanmamış kaç birim küp vardır?</t>
  </si>
  <si>
    <t xml:space="preserve">95</t>
  </si>
  <si>
    <t xml:space="preserve">Bir ayrıtı 5 birim olan küp, birim küplerden oluşturuluyor ve dış yüzeyinin tamamı boyanıyor. Yalnızca 1 yüzü boyalı kaç birim küp vardır?</t>
  </si>
  <si>
    <t xml:space="preserve">Bir ayrıtı 5 birim olan küp, birim küplerden oluşturuluyor ve dış yüzeyinin tamamı boyanıyor. Yalnızca 2 yüzü boyalı kaç birim küp vardır?</t>
  </si>
  <si>
    <t xml:space="preserve">Birim küplerden oluşan bir küpün dış yüzeyi boyanıyor. 3 yüzü boyalı kaç birim küp vardır?</t>
  </si>
  <si>
    <t xml:space="preserve">CEVAP ANAHTARI</t>
  </si>
  <si>
    <t xml:space="preserve">Cevap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</si>
</sst>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808080"/>
      <name val="Arial"/>
      <family val="0"/>
      <charset val="1"/>
    </font>
    <font>
      <sz val="10"/>
      <name val="Arial"/>
      <family val="2"/>
    </font>
    <font>
      <b val="true"/>
      <sz val="14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border diagonalUp="false" diagonalDown="false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6" min="3" style="0" width="13"/>
    <col collapsed="false" customWidth="true" hidden="false" outlineLevel="0" max="7" min="7" style="0" width="18"/>
    <col collapsed="false" customWidth="true" hidden="false" outlineLevel="0" max="8" min="8" style="0" width="8"/>
    <col collapsed="false" customWidth="true" hidden="true" outlineLevel="0" max="9" min="9" style="0" width="3"/>
    <col collapsed="false" customWidth="true" hidden="false" outlineLevel="0" max="10" min="10" style="0" width="1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3" t="n">
        <v>10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  <c r="C4" s="4" t="s">
        <v>5</v>
      </c>
    </row>
    <row r="5" customFormat="false" ht="15" hidden="false" customHeight="false" outlineLevel="0" collapsed="false">
      <c r="A5" s="2" t="s">
        <v>6</v>
      </c>
      <c r="B5" s="3" t="s">
        <v>4</v>
      </c>
      <c r="C5" s="4" t="s">
        <v>7</v>
      </c>
    </row>
    <row r="6" customFormat="false" ht="15" hidden="false" customHeight="false" outlineLevel="0" collapsed="false">
      <c r="A6" s="2" t="s">
        <v>8</v>
      </c>
      <c r="B6" s="5" t="n">
        <f aca="false">SUM('Soru Havuzu'!$J$2:$J$1001)</f>
        <v>224</v>
      </c>
      <c r="C6" s="6" t="str">
        <f aca="false">IF(B6&lt;B3,"Uyarı: havuzda yeterli soru yok, "&amp;B6&amp;" soru listelendi.","")</f>
        <v/>
      </c>
    </row>
    <row r="8" customFormat="false" ht="15" hidden="false" customHeight="false" outlineLevel="0" collapsed="false">
      <c r="A8" s="7" t="s">
        <v>9</v>
      </c>
      <c r="B8" s="7"/>
      <c r="C8" s="7"/>
      <c r="D8" s="7"/>
      <c r="E8" s="7"/>
      <c r="F8" s="7"/>
      <c r="G8" s="7"/>
      <c r="H8" s="7"/>
    </row>
    <row r="9" customFormat="false" ht="15" hidden="false" customHeight="false" outlineLevel="0" collapsed="false">
      <c r="A9" s="8" t="s">
        <v>10</v>
      </c>
      <c r="B9" s="8"/>
      <c r="C9" s="8"/>
      <c r="D9" s="8"/>
      <c r="E9" s="8"/>
      <c r="F9" s="8"/>
      <c r="G9" s="8"/>
      <c r="H9" s="8"/>
    </row>
    <row r="11" customFormat="false" ht="15" hidden="false" customHeight="false" outlineLevel="0" collapsed="false">
      <c r="A11" s="9" t="s">
        <v>11</v>
      </c>
      <c r="B11" s="9" t="s">
        <v>12</v>
      </c>
      <c r="C11" s="9" t="s">
        <v>13</v>
      </c>
      <c r="D11" s="9" t="s">
        <v>14</v>
      </c>
      <c r="E11" s="9" t="s">
        <v>15</v>
      </c>
      <c r="F11" s="9" t="s">
        <v>16</v>
      </c>
      <c r="G11" s="9" t="s">
        <v>3</v>
      </c>
      <c r="H11" s="9" t="s">
        <v>6</v>
      </c>
      <c r="J11" s="10" t="s">
        <v>17</v>
      </c>
    </row>
    <row r="12" customFormat="false" ht="15" hidden="false" customHeight="false" outlineLevel="0" collapsed="false">
      <c r="A12" s="5" t="n">
        <f aca="false">IF($J12="","",1)</f>
        <v>1</v>
      </c>
      <c r="B12" s="11" t="str">
        <f aca="false">IF($J12="","",INDEX('Soru Havuzu'!$D$2:$D$1001,$J12))</f>
        <v>Bir ayrıtı 2 cm olan küpün tüm ayrıtlarının uzunlukları toplamı kaç cm'dir?</v>
      </c>
      <c r="C12" s="12" t="str">
        <f aca="false">IF($J12="","",INDEX('Soru Havuzu'!$E$2:$E$1001,$J12))</f>
        <v>16</v>
      </c>
      <c r="D12" s="12" t="str">
        <f aca="false">IF($J12="","",INDEX('Soru Havuzu'!$F$2:$F$1001,$J12))</f>
        <v>24</v>
      </c>
      <c r="E12" s="12" t="str">
        <f aca="false">IF($J12="","",INDEX('Soru Havuzu'!$G$2:$G$1001,$J12))</f>
        <v>8</v>
      </c>
      <c r="F12" s="12" t="str">
        <f aca="false">IF($J12="","",INDEX('Soru Havuzu'!$H$2:$H$1001,$J12))</f>
        <v>12</v>
      </c>
      <c r="G12" s="12" t="str">
        <f aca="false">IF($J12="","",INDEX('Soru Havuzu'!$B$2:$B$1001,$J12))</f>
        <v>Küpün Özellikleri</v>
      </c>
      <c r="H12" s="12" t="str">
        <f aca="false">IF($J12="","",INDEX('Soru Havuzu'!$C$2:$C$1001,$J12))</f>
        <v>Orta</v>
      </c>
      <c r="J12" s="10" t="n">
        <f aca="false">IF(1&lt;=MIN($B$3,$B$6),MATCH(1,'Soru Havuzu'!$L$2:$L$1001,0),"")</f>
        <v>177</v>
      </c>
    </row>
    <row r="13" customFormat="false" ht="39.55" hidden="false" customHeight="false" outlineLevel="0" collapsed="false">
      <c r="A13" s="5" t="n">
        <f aca="false">IF($J13="","",2)</f>
        <v>2</v>
      </c>
      <c r="B13" s="11" t="str">
        <f aca="false">IF($J13="","",INDEX('Soru Havuzu'!$D$2:$D$1001,$J13))</f>
        <v>7³ ifadesinin değeri kaçtır?</v>
      </c>
      <c r="C13" s="12" t="str">
        <f aca="false">IF($J13="","",INDEX('Soru Havuzu'!$E$2:$E$1001,$J13))</f>
        <v>343</v>
      </c>
      <c r="D13" s="12" t="str">
        <f aca="false">IF($J13="","",INDEX('Soru Havuzu'!$F$2:$F$1001,$J13))</f>
        <v>49</v>
      </c>
      <c r="E13" s="12" t="str">
        <f aca="false">IF($J13="","",INDEX('Soru Havuzu'!$G$2:$G$1001,$J13))</f>
        <v>21</v>
      </c>
      <c r="F13" s="12" t="str">
        <f aca="false">IF($J13="","",INDEX('Soru Havuzu'!$H$2:$H$1001,$J13))</f>
        <v>350</v>
      </c>
      <c r="G13" s="12" t="str">
        <f aca="false">IF($J13="","",INDEX('Soru Havuzu'!$B$2:$B$1001,$J13))</f>
        <v>Sayının Küpü</v>
      </c>
      <c r="H13" s="12" t="str">
        <f aca="false">IF($J13="","",INDEX('Soru Havuzu'!$C$2:$C$1001,$J13))</f>
        <v>Kolay</v>
      </c>
      <c r="J13" s="10" t="n">
        <f aca="false">IF(2&lt;=MIN($B$3,$B$6),MATCH(2,'Soru Havuzu'!$L$2:$L$1001,0),"")</f>
        <v>7</v>
      </c>
    </row>
    <row r="14" customFormat="false" ht="15" hidden="false" customHeight="false" outlineLevel="0" collapsed="false">
      <c r="A14" s="5" t="n">
        <f aca="false">IF($J14="","",3)</f>
        <v>3</v>
      </c>
      <c r="B14" s="11" t="str">
        <f aca="false">IF($J14="","",INDEX('Soru Havuzu'!$D$2:$D$1001,$J14))</f>
        <v>Bir ayrıtı 7 cm olan küpün tüm ayrıtlarının uzunlukları toplamı kaç cm'dir?</v>
      </c>
      <c r="C14" s="12" t="str">
        <f aca="false">IF($J14="","",INDEX('Soru Havuzu'!$E$2:$E$1001,$J14))</f>
        <v>42</v>
      </c>
      <c r="D14" s="12" t="str">
        <f aca="false">IF($J14="","",INDEX('Soru Havuzu'!$F$2:$F$1001,$J14))</f>
        <v>56</v>
      </c>
      <c r="E14" s="12" t="str">
        <f aca="false">IF($J14="","",INDEX('Soru Havuzu'!$G$2:$G$1001,$J14))</f>
        <v>84</v>
      </c>
      <c r="F14" s="12" t="str">
        <f aca="false">IF($J14="","",INDEX('Soru Havuzu'!$H$2:$H$1001,$J14))</f>
        <v>343</v>
      </c>
      <c r="G14" s="12" t="str">
        <f aca="false">IF($J14="","",INDEX('Soru Havuzu'!$B$2:$B$1001,$J14))</f>
        <v>Küpün Özellikleri</v>
      </c>
      <c r="H14" s="12" t="str">
        <f aca="false">IF($J14="","",INDEX('Soru Havuzu'!$C$2:$C$1001,$J14))</f>
        <v>Orta</v>
      </c>
      <c r="J14" s="10" t="n">
        <f aca="false">IF(3&lt;=MIN($B$3,$B$6),MATCH(3,'Soru Havuzu'!$L$2:$L$1001,0),"")</f>
        <v>182</v>
      </c>
    </row>
    <row r="15" customFormat="false" ht="15" hidden="false" customHeight="false" outlineLevel="0" collapsed="false">
      <c r="A15" s="5" t="n">
        <f aca="false">IF($J15="","",4)</f>
        <v>4</v>
      </c>
      <c r="B15" s="11" t="str">
        <f aca="false">IF($J15="","",INDEX('Soru Havuzu'!$D$2:$D$1001,$J15))</f>
        <v>Hacmi 8 cm³ olan küpün bir ayrıtı kaç cm'dir?</v>
      </c>
      <c r="C15" s="12" t="str">
        <f aca="false">IF($J15="","",INDEX('Soru Havuzu'!$E$2:$E$1001,$J15))</f>
        <v>2</v>
      </c>
      <c r="D15" s="12" t="str">
        <f aca="false">IF($J15="","",INDEX('Soru Havuzu'!$F$2:$F$1001,$J15))</f>
        <v>3</v>
      </c>
      <c r="E15" s="12" t="str">
        <f aca="false">IF($J15="","",INDEX('Soru Havuzu'!$G$2:$G$1001,$J15))</f>
        <v>4</v>
      </c>
      <c r="F15" s="12" t="str">
        <f aca="false">IF($J15="","",INDEX('Soru Havuzu'!$H$2:$H$1001,$J15))</f>
        <v>1</v>
      </c>
      <c r="G15" s="12" t="str">
        <f aca="false">IF($J15="","",INDEX('Soru Havuzu'!$B$2:$B$1001,$J15))</f>
        <v>Küpün Hacmi</v>
      </c>
      <c r="H15" s="12" t="str">
        <f aca="false">IF($J15="","",INDEX('Soru Havuzu'!$C$2:$C$1001,$J15))</f>
        <v>Orta</v>
      </c>
      <c r="J15" s="10" t="n">
        <f aca="false">IF(4&lt;=MIN($B$3,$B$6),MATCH(4,'Soru Havuzu'!$L$2:$L$1001,0),"")</f>
        <v>119</v>
      </c>
    </row>
    <row r="16" customFormat="false" ht="15" hidden="false" customHeight="false" outlineLevel="0" collapsed="false">
      <c r="A16" s="5" t="n">
        <f aca="false">IF($J16="","",5)</f>
        <v>5</v>
      </c>
      <c r="B16" s="11" t="str">
        <f aca="false">IF($J16="","",INDEX('Soru Havuzu'!$D$2:$D$1001,$J16))</f>
        <v>(2 + 2)³ ifadesinin değeri kaçtır?</v>
      </c>
      <c r="C16" s="12" t="str">
        <f aca="false">IF($J16="","",INDEX('Soru Havuzu'!$E$2:$E$1001,$J16))</f>
        <v>10</v>
      </c>
      <c r="D16" s="12" t="str">
        <f aca="false">IF($J16="","",INDEX('Soru Havuzu'!$F$2:$F$1001,$J16))</f>
        <v>12</v>
      </c>
      <c r="E16" s="12" t="str">
        <f aca="false">IF($J16="","",INDEX('Soru Havuzu'!$G$2:$G$1001,$J16))</f>
        <v>16</v>
      </c>
      <c r="F16" s="12" t="str">
        <f aca="false">IF($J16="","",INDEX('Soru Havuzu'!$H$2:$H$1001,$J16))</f>
        <v>64</v>
      </c>
      <c r="G16" s="12" t="str">
        <f aca="false">IF($J16="","",INDEX('Soru Havuzu'!$B$2:$B$1001,$J16))</f>
        <v>Sayının Küpü</v>
      </c>
      <c r="H16" s="12" t="str">
        <f aca="false">IF($J16="","",INDEX('Soru Havuzu'!$C$2:$C$1001,$J16))</f>
        <v>Zor</v>
      </c>
      <c r="J16" s="10" t="n">
        <f aca="false">IF(5&lt;=MIN($B$3,$B$6),MATCH(5,'Soru Havuzu'!$L$2:$L$1001,0),"")</f>
        <v>84</v>
      </c>
    </row>
    <row r="17" customFormat="false" ht="15" hidden="false" customHeight="false" outlineLevel="0" collapsed="false">
      <c r="A17" s="5" t="n">
        <f aca="false">IF($J17="","",6)</f>
        <v>6</v>
      </c>
      <c r="B17" s="11" t="str">
        <f aca="false">IF($J17="","",INDEX('Soru Havuzu'!$D$2:$D$1001,$J17))</f>
        <v>Aşağıdakilerden hangisinin değeri en büyüktür?</v>
      </c>
      <c r="C17" s="12" t="str">
        <f aca="false">IF($J17="","",INDEX('Soru Havuzu'!$E$2:$E$1001,$J17))</f>
        <v>6²</v>
      </c>
      <c r="D17" s="12" t="str">
        <f aca="false">IF($J17="","",INDEX('Soru Havuzu'!$F$2:$F$1001,$J17))</f>
        <v>7²</v>
      </c>
      <c r="E17" s="12" t="str">
        <f aca="false">IF($J17="","",INDEX('Soru Havuzu'!$G$2:$G$1001,$J17))</f>
        <v>3²</v>
      </c>
      <c r="F17" s="12" t="str">
        <f aca="false">IF($J17="","",INDEX('Soru Havuzu'!$H$2:$H$1001,$J17))</f>
        <v>10²</v>
      </c>
      <c r="G17" s="12" t="str">
        <f aca="false">IF($J17="","",INDEX('Soru Havuzu'!$B$2:$B$1001,$J17))</f>
        <v>Sayının Küpü</v>
      </c>
      <c r="H17" s="12" t="str">
        <f aca="false">IF($J17="","",INDEX('Soru Havuzu'!$C$2:$C$1001,$J17))</f>
        <v>Orta</v>
      </c>
      <c r="J17" s="10" t="n">
        <f aca="false">IF(6&lt;=MIN($B$3,$B$6),MATCH(6,'Soru Havuzu'!$L$2:$L$1001,0),"")</f>
        <v>54</v>
      </c>
    </row>
    <row r="18" customFormat="false" ht="39.55" hidden="false" customHeight="false" outlineLevel="0" collapsed="false">
      <c r="A18" s="5" t="n">
        <f aca="false">IF($J18="","",7)</f>
        <v>7</v>
      </c>
      <c r="B18" s="11" t="str">
        <f aca="false">IF($J18="","",INDEX('Soru Havuzu'!$D$2:$D$1001,$J18))</f>
        <v>6³ ifadesinin anlamı aşağıdakilerden hangisidir?</v>
      </c>
      <c r="C18" s="12" t="str">
        <f aca="false">IF($J18="","",INDEX('Soru Havuzu'!$E$2:$E$1001,$J18))</f>
        <v>6 · 3</v>
      </c>
      <c r="D18" s="12" t="str">
        <f aca="false">IF($J18="","",INDEX('Soru Havuzu'!$F$2:$F$1001,$J18))</f>
        <v>6 + 6 + 6</v>
      </c>
      <c r="E18" s="12" t="str">
        <f aca="false">IF($J18="","",INDEX('Soru Havuzu'!$G$2:$G$1001,$J18))</f>
        <v>6 · 6 · 6</v>
      </c>
      <c r="F18" s="12" t="str">
        <f aca="false">IF($J18="","",INDEX('Soru Havuzu'!$H$2:$H$1001,$J18))</f>
        <v>3 · 3 · 3 · 3 · 3 · 3</v>
      </c>
      <c r="G18" s="12" t="str">
        <f aca="false">IF($J18="","",INDEX('Soru Havuzu'!$B$2:$B$1001,$J18))</f>
        <v>Sayının Küpü</v>
      </c>
      <c r="H18" s="12" t="str">
        <f aca="false">IF($J18="","",INDEX('Soru Havuzu'!$C$2:$C$1001,$J18))</f>
        <v>Kolay</v>
      </c>
      <c r="J18" s="10" t="n">
        <f aca="false">IF(7&lt;=MIN($B$3,$B$6),MATCH(7,'Soru Havuzu'!$L$2:$L$1001,0),"")</f>
        <v>23</v>
      </c>
    </row>
    <row r="19" customFormat="false" ht="15" hidden="false" customHeight="false" outlineLevel="0" collapsed="false">
      <c r="A19" s="5" t="n">
        <f aca="false">IF($J19="","",8)</f>
        <v>8</v>
      </c>
      <c r="B19" s="11" t="str">
        <f aca="false">IF($J19="","",INDEX('Soru Havuzu'!$D$2:$D$1001,$J19))</f>
        <v>Aşağıdakilerden hangisinin değeri en büyüktür?</v>
      </c>
      <c r="C19" s="12" t="str">
        <f aca="false">IF($J19="","",INDEX('Soru Havuzu'!$E$2:$E$1001,$J19))</f>
        <v>5²</v>
      </c>
      <c r="D19" s="12" t="str">
        <f aca="false">IF($J19="","",INDEX('Soru Havuzu'!$F$2:$F$1001,$J19))</f>
        <v>3²</v>
      </c>
      <c r="E19" s="12" t="str">
        <f aca="false">IF($J19="","",INDEX('Soru Havuzu'!$G$2:$G$1001,$J19))</f>
        <v>7²</v>
      </c>
      <c r="F19" s="12" t="str">
        <f aca="false">IF($J19="","",INDEX('Soru Havuzu'!$H$2:$H$1001,$J19))</f>
        <v>9²</v>
      </c>
      <c r="G19" s="12" t="str">
        <f aca="false">IF($J19="","",INDEX('Soru Havuzu'!$B$2:$B$1001,$J19))</f>
        <v>Sayının Küpü</v>
      </c>
      <c r="H19" s="12" t="str">
        <f aca="false">IF($J19="","",INDEX('Soru Havuzu'!$C$2:$C$1001,$J19))</f>
        <v>Orta</v>
      </c>
      <c r="J19" s="10" t="n">
        <f aca="false">IF(8&lt;=MIN($B$3,$B$6),MATCH(8,'Soru Havuzu'!$L$2:$L$1001,0),"")</f>
        <v>56</v>
      </c>
    </row>
    <row r="20" customFormat="false" ht="15" hidden="false" customHeight="false" outlineLevel="0" collapsed="false">
      <c r="A20" s="5" t="n">
        <f aca="false">IF($J20="","",9)</f>
        <v>9</v>
      </c>
      <c r="B20" s="11" t="str">
        <f aca="false">IF($J20="","",INDEX('Soru Havuzu'!$D$2:$D$1001,$J20))</f>
        <v>Aşağıdakilerden hangisi bir doğal sayının küpü değildir?</v>
      </c>
      <c r="C20" s="12" t="str">
        <f aca="false">IF($J20="","",INDEX('Soru Havuzu'!$E$2:$E$1001,$J20))</f>
        <v>49</v>
      </c>
      <c r="D20" s="12" t="str">
        <f aca="false">IF($J20="","",INDEX('Soru Havuzu'!$F$2:$F$1001,$J20))</f>
        <v>27</v>
      </c>
      <c r="E20" s="12" t="str">
        <f aca="false">IF($J20="","",INDEX('Soru Havuzu'!$G$2:$G$1001,$J20))</f>
        <v>512</v>
      </c>
      <c r="F20" s="12" t="str">
        <f aca="false">IF($J20="","",INDEX('Soru Havuzu'!$H$2:$H$1001,$J20))</f>
        <v>8</v>
      </c>
      <c r="G20" s="12" t="str">
        <f aca="false">IF($J20="","",INDEX('Soru Havuzu'!$B$2:$B$1001,$J20))</f>
        <v>Sayının Küpü</v>
      </c>
      <c r="H20" s="12" t="str">
        <f aca="false">IF($J20="","",INDEX('Soru Havuzu'!$C$2:$C$1001,$J20))</f>
        <v>Orta</v>
      </c>
      <c r="J20" s="10" t="n">
        <f aca="false">IF(9&lt;=MIN($B$3,$B$6),MATCH(9,'Soru Havuzu'!$L$2:$L$1001,0),"")</f>
        <v>67</v>
      </c>
    </row>
    <row r="21" customFormat="false" ht="39.55" hidden="false" customHeight="false" outlineLevel="0" collapsed="false">
      <c r="A21" s="5" t="n">
        <f aca="false">IF($J21="","",10)</f>
        <v>10</v>
      </c>
      <c r="B21" s="11" t="str">
        <f aca="false">IF($J21="","",INDEX('Soru Havuzu'!$D$2:$D$1001,$J21))</f>
        <v>Bir ayrıtı 9 cm olan küpün hacmi kaç cm³'tür?</v>
      </c>
      <c r="C21" s="12" t="str">
        <f aca="false">IF($J21="","",INDEX('Soru Havuzu'!$E$2:$E$1001,$J21))</f>
        <v>27</v>
      </c>
      <c r="D21" s="12" t="str">
        <f aca="false">IF($J21="","",INDEX('Soru Havuzu'!$F$2:$F$1001,$J21))</f>
        <v>486</v>
      </c>
      <c r="E21" s="12" t="str">
        <f aca="false">IF($J21="","",INDEX('Soru Havuzu'!$G$2:$G$1001,$J21))</f>
        <v>81</v>
      </c>
      <c r="F21" s="12" t="str">
        <f aca="false">IF($J21="","",INDEX('Soru Havuzu'!$H$2:$H$1001,$J21))</f>
        <v>729</v>
      </c>
      <c r="G21" s="12" t="str">
        <f aca="false">IF($J21="","",INDEX('Soru Havuzu'!$B$2:$B$1001,$J21))</f>
        <v>Küpün Hacmi</v>
      </c>
      <c r="H21" s="12" t="str">
        <f aca="false">IF($J21="","",INDEX('Soru Havuzu'!$C$2:$C$1001,$J21))</f>
        <v>Kolay</v>
      </c>
      <c r="J21" s="10" t="n">
        <f aca="false">IF(10&lt;=MIN($B$3,$B$6),MATCH(10,'Soru Havuzu'!$L$2:$L$1001,0),"")</f>
        <v>111</v>
      </c>
    </row>
    <row r="22" customFormat="false" ht="15" hidden="false" customHeight="false" outlineLevel="0" collapsed="false">
      <c r="A22" s="5" t="str">
        <f aca="false">IF($J22="","",11)</f>
        <v/>
      </c>
      <c r="B22" s="11" t="str">
        <f aca="false">IF($J22="","",INDEX('Soru Havuzu'!$D$2:$D$1001,$J22))</f>
        <v/>
      </c>
      <c r="C22" s="12" t="str">
        <f aca="false">IF($J22="","",INDEX('Soru Havuzu'!$E$2:$E$1001,$J22))</f>
        <v/>
      </c>
      <c r="D22" s="12" t="str">
        <f aca="false">IF($J22="","",INDEX('Soru Havuzu'!$F$2:$F$1001,$J22))</f>
        <v/>
      </c>
      <c r="E22" s="12" t="str">
        <f aca="false">IF($J22="","",INDEX('Soru Havuzu'!$G$2:$G$1001,$J22))</f>
        <v/>
      </c>
      <c r="F22" s="12" t="str">
        <f aca="false">IF($J22="","",INDEX('Soru Havuzu'!$H$2:$H$1001,$J22))</f>
        <v/>
      </c>
      <c r="G22" s="12" t="str">
        <f aca="false">IF($J22="","",INDEX('Soru Havuzu'!$B$2:$B$1001,$J22))</f>
        <v/>
      </c>
      <c r="H22" s="12" t="str">
        <f aca="false">IF($J22="","",INDEX('Soru Havuzu'!$C$2:$C$1001,$J22))</f>
        <v/>
      </c>
      <c r="J22" s="10" t="str">
        <f aca="false">IF(11&lt;=MIN($B$3,$B$6),MATCH(11,'Soru Havuzu'!$L$2:$L$1001,0),"")</f>
        <v/>
      </c>
    </row>
    <row r="23" customFormat="false" ht="15" hidden="false" customHeight="false" outlineLevel="0" collapsed="false">
      <c r="A23" s="5" t="str">
        <f aca="false">IF($J23="","",12)</f>
        <v/>
      </c>
      <c r="B23" s="11" t="str">
        <f aca="false">IF($J23="","",INDEX('Soru Havuzu'!$D$2:$D$1001,$J23))</f>
        <v/>
      </c>
      <c r="C23" s="12" t="str">
        <f aca="false">IF($J23="","",INDEX('Soru Havuzu'!$E$2:$E$1001,$J23))</f>
        <v/>
      </c>
      <c r="D23" s="12" t="str">
        <f aca="false">IF($J23="","",INDEX('Soru Havuzu'!$F$2:$F$1001,$J23))</f>
        <v/>
      </c>
      <c r="E23" s="12" t="str">
        <f aca="false">IF($J23="","",INDEX('Soru Havuzu'!$G$2:$G$1001,$J23))</f>
        <v/>
      </c>
      <c r="F23" s="12" t="str">
        <f aca="false">IF($J23="","",INDEX('Soru Havuzu'!$H$2:$H$1001,$J23))</f>
        <v/>
      </c>
      <c r="G23" s="12" t="str">
        <f aca="false">IF($J23="","",INDEX('Soru Havuzu'!$B$2:$B$1001,$J23))</f>
        <v/>
      </c>
      <c r="H23" s="12" t="str">
        <f aca="false">IF($J23="","",INDEX('Soru Havuzu'!$C$2:$C$1001,$J23))</f>
        <v/>
      </c>
      <c r="J23" s="10" t="str">
        <f aca="false">IF(12&lt;=MIN($B$3,$B$6),MATCH(12,'Soru Havuzu'!$L$2:$L$1001,0),"")</f>
        <v/>
      </c>
    </row>
    <row r="24" customFormat="false" ht="15" hidden="false" customHeight="false" outlineLevel="0" collapsed="false">
      <c r="A24" s="5" t="str">
        <f aca="false">IF($J24="","",13)</f>
        <v/>
      </c>
      <c r="B24" s="11" t="str">
        <f aca="false">IF($J24="","",INDEX('Soru Havuzu'!$D$2:$D$1001,$J24))</f>
        <v/>
      </c>
      <c r="C24" s="12" t="str">
        <f aca="false">IF($J24="","",INDEX('Soru Havuzu'!$E$2:$E$1001,$J24))</f>
        <v/>
      </c>
      <c r="D24" s="12" t="str">
        <f aca="false">IF($J24="","",INDEX('Soru Havuzu'!$F$2:$F$1001,$J24))</f>
        <v/>
      </c>
      <c r="E24" s="12" t="str">
        <f aca="false">IF($J24="","",INDEX('Soru Havuzu'!$G$2:$G$1001,$J24))</f>
        <v/>
      </c>
      <c r="F24" s="12" t="str">
        <f aca="false">IF($J24="","",INDEX('Soru Havuzu'!$H$2:$H$1001,$J24))</f>
        <v/>
      </c>
      <c r="G24" s="12" t="str">
        <f aca="false">IF($J24="","",INDEX('Soru Havuzu'!$B$2:$B$1001,$J24))</f>
        <v/>
      </c>
      <c r="H24" s="12" t="str">
        <f aca="false">IF($J24="","",INDEX('Soru Havuzu'!$C$2:$C$1001,$J24))</f>
        <v/>
      </c>
      <c r="J24" s="10" t="str">
        <f aca="false">IF(13&lt;=MIN($B$3,$B$6),MATCH(13,'Soru Havuzu'!$L$2:$L$1001,0),"")</f>
        <v/>
      </c>
    </row>
    <row r="25" customFormat="false" ht="15" hidden="false" customHeight="false" outlineLevel="0" collapsed="false">
      <c r="A25" s="5" t="str">
        <f aca="false">IF($J25="","",14)</f>
        <v/>
      </c>
      <c r="B25" s="11" t="str">
        <f aca="false">IF($J25="","",INDEX('Soru Havuzu'!$D$2:$D$1001,$J25))</f>
        <v/>
      </c>
      <c r="C25" s="12" t="str">
        <f aca="false">IF($J25="","",INDEX('Soru Havuzu'!$E$2:$E$1001,$J25))</f>
        <v/>
      </c>
      <c r="D25" s="12" t="str">
        <f aca="false">IF($J25="","",INDEX('Soru Havuzu'!$F$2:$F$1001,$J25))</f>
        <v/>
      </c>
      <c r="E25" s="12" t="str">
        <f aca="false">IF($J25="","",INDEX('Soru Havuzu'!$G$2:$G$1001,$J25))</f>
        <v/>
      </c>
      <c r="F25" s="12" t="str">
        <f aca="false">IF($J25="","",INDEX('Soru Havuzu'!$H$2:$H$1001,$J25))</f>
        <v/>
      </c>
      <c r="G25" s="12" t="str">
        <f aca="false">IF($J25="","",INDEX('Soru Havuzu'!$B$2:$B$1001,$J25))</f>
        <v/>
      </c>
      <c r="H25" s="12" t="str">
        <f aca="false">IF($J25="","",INDEX('Soru Havuzu'!$C$2:$C$1001,$J25))</f>
        <v/>
      </c>
      <c r="J25" s="10" t="str">
        <f aca="false">IF(14&lt;=MIN($B$3,$B$6),MATCH(14,'Soru Havuzu'!$L$2:$L$1001,0),"")</f>
        <v/>
      </c>
    </row>
    <row r="26" customFormat="false" ht="15" hidden="false" customHeight="false" outlineLevel="0" collapsed="false">
      <c r="A26" s="5" t="str">
        <f aca="false">IF($J26="","",15)</f>
        <v/>
      </c>
      <c r="B26" s="11" t="str">
        <f aca="false">IF($J26="","",INDEX('Soru Havuzu'!$D$2:$D$1001,$J26))</f>
        <v/>
      </c>
      <c r="C26" s="12" t="str">
        <f aca="false">IF($J26="","",INDEX('Soru Havuzu'!$E$2:$E$1001,$J26))</f>
        <v/>
      </c>
      <c r="D26" s="12" t="str">
        <f aca="false">IF($J26="","",INDEX('Soru Havuzu'!$F$2:$F$1001,$J26))</f>
        <v/>
      </c>
      <c r="E26" s="12" t="str">
        <f aca="false">IF($J26="","",INDEX('Soru Havuzu'!$G$2:$G$1001,$J26))</f>
        <v/>
      </c>
      <c r="F26" s="12" t="str">
        <f aca="false">IF($J26="","",INDEX('Soru Havuzu'!$H$2:$H$1001,$J26))</f>
        <v/>
      </c>
      <c r="G26" s="12" t="str">
        <f aca="false">IF($J26="","",INDEX('Soru Havuzu'!$B$2:$B$1001,$J26))</f>
        <v/>
      </c>
      <c r="H26" s="12" t="str">
        <f aca="false">IF($J26="","",INDEX('Soru Havuzu'!$C$2:$C$1001,$J26))</f>
        <v/>
      </c>
      <c r="J26" s="10" t="str">
        <f aca="false">IF(15&lt;=MIN($B$3,$B$6),MATCH(15,'Soru Havuzu'!$L$2:$L$1001,0),"")</f>
        <v/>
      </c>
    </row>
    <row r="27" customFormat="false" ht="15" hidden="false" customHeight="false" outlineLevel="0" collapsed="false">
      <c r="A27" s="5" t="str">
        <f aca="false">IF($J27="","",16)</f>
        <v/>
      </c>
      <c r="B27" s="11" t="str">
        <f aca="false">IF($J27="","",INDEX('Soru Havuzu'!$D$2:$D$1001,$J27))</f>
        <v/>
      </c>
      <c r="C27" s="12" t="str">
        <f aca="false">IF($J27="","",INDEX('Soru Havuzu'!$E$2:$E$1001,$J27))</f>
        <v/>
      </c>
      <c r="D27" s="12" t="str">
        <f aca="false">IF($J27="","",INDEX('Soru Havuzu'!$F$2:$F$1001,$J27))</f>
        <v/>
      </c>
      <c r="E27" s="12" t="str">
        <f aca="false">IF($J27="","",INDEX('Soru Havuzu'!$G$2:$G$1001,$J27))</f>
        <v/>
      </c>
      <c r="F27" s="12" t="str">
        <f aca="false">IF($J27="","",INDEX('Soru Havuzu'!$H$2:$H$1001,$J27))</f>
        <v/>
      </c>
      <c r="G27" s="12" t="str">
        <f aca="false">IF($J27="","",INDEX('Soru Havuzu'!$B$2:$B$1001,$J27))</f>
        <v/>
      </c>
      <c r="H27" s="12" t="str">
        <f aca="false">IF($J27="","",INDEX('Soru Havuzu'!$C$2:$C$1001,$J27))</f>
        <v/>
      </c>
      <c r="J27" s="10" t="str">
        <f aca="false">IF(16&lt;=MIN($B$3,$B$6),MATCH(16,'Soru Havuzu'!$L$2:$L$1001,0),"")</f>
        <v/>
      </c>
    </row>
    <row r="28" customFormat="false" ht="15" hidden="false" customHeight="false" outlineLevel="0" collapsed="false">
      <c r="A28" s="5" t="str">
        <f aca="false">IF($J28="","",17)</f>
        <v/>
      </c>
      <c r="B28" s="11" t="str">
        <f aca="false">IF($J28="","",INDEX('Soru Havuzu'!$D$2:$D$1001,$J28))</f>
        <v/>
      </c>
      <c r="C28" s="12" t="str">
        <f aca="false">IF($J28="","",INDEX('Soru Havuzu'!$E$2:$E$1001,$J28))</f>
        <v/>
      </c>
      <c r="D28" s="12" t="str">
        <f aca="false">IF($J28="","",INDEX('Soru Havuzu'!$F$2:$F$1001,$J28))</f>
        <v/>
      </c>
      <c r="E28" s="12" t="str">
        <f aca="false">IF($J28="","",INDEX('Soru Havuzu'!$G$2:$G$1001,$J28))</f>
        <v/>
      </c>
      <c r="F28" s="12" t="str">
        <f aca="false">IF($J28="","",INDEX('Soru Havuzu'!$H$2:$H$1001,$J28))</f>
        <v/>
      </c>
      <c r="G28" s="12" t="str">
        <f aca="false">IF($J28="","",INDEX('Soru Havuzu'!$B$2:$B$1001,$J28))</f>
        <v/>
      </c>
      <c r="H28" s="12" t="str">
        <f aca="false">IF($J28="","",INDEX('Soru Havuzu'!$C$2:$C$1001,$J28))</f>
        <v/>
      </c>
      <c r="J28" s="10" t="str">
        <f aca="false">IF(17&lt;=MIN($B$3,$B$6),MATCH(17,'Soru Havuzu'!$L$2:$L$1001,0),"")</f>
        <v/>
      </c>
    </row>
    <row r="29" customFormat="false" ht="15" hidden="false" customHeight="false" outlineLevel="0" collapsed="false">
      <c r="A29" s="5" t="str">
        <f aca="false">IF($J29="","",18)</f>
        <v/>
      </c>
      <c r="B29" s="11" t="str">
        <f aca="false">IF($J29="","",INDEX('Soru Havuzu'!$D$2:$D$1001,$J29))</f>
        <v/>
      </c>
      <c r="C29" s="12" t="str">
        <f aca="false">IF($J29="","",INDEX('Soru Havuzu'!$E$2:$E$1001,$J29))</f>
        <v/>
      </c>
      <c r="D29" s="12" t="str">
        <f aca="false">IF($J29="","",INDEX('Soru Havuzu'!$F$2:$F$1001,$J29))</f>
        <v/>
      </c>
      <c r="E29" s="12" t="str">
        <f aca="false">IF($J29="","",INDEX('Soru Havuzu'!$G$2:$G$1001,$J29))</f>
        <v/>
      </c>
      <c r="F29" s="12" t="str">
        <f aca="false">IF($J29="","",INDEX('Soru Havuzu'!$H$2:$H$1001,$J29))</f>
        <v/>
      </c>
      <c r="G29" s="12" t="str">
        <f aca="false">IF($J29="","",INDEX('Soru Havuzu'!$B$2:$B$1001,$J29))</f>
        <v/>
      </c>
      <c r="H29" s="12" t="str">
        <f aca="false">IF($J29="","",INDEX('Soru Havuzu'!$C$2:$C$1001,$J29))</f>
        <v/>
      </c>
      <c r="J29" s="10" t="str">
        <f aca="false">IF(18&lt;=MIN($B$3,$B$6),MATCH(18,'Soru Havuzu'!$L$2:$L$1001,0),"")</f>
        <v/>
      </c>
    </row>
    <row r="30" customFormat="false" ht="15" hidden="false" customHeight="false" outlineLevel="0" collapsed="false">
      <c r="A30" s="5" t="str">
        <f aca="false">IF($J30="","",19)</f>
        <v/>
      </c>
      <c r="B30" s="11" t="str">
        <f aca="false">IF($J30="","",INDEX('Soru Havuzu'!$D$2:$D$1001,$J30))</f>
        <v/>
      </c>
      <c r="C30" s="12" t="str">
        <f aca="false">IF($J30="","",INDEX('Soru Havuzu'!$E$2:$E$1001,$J30))</f>
        <v/>
      </c>
      <c r="D30" s="12" t="str">
        <f aca="false">IF($J30="","",INDEX('Soru Havuzu'!$F$2:$F$1001,$J30))</f>
        <v/>
      </c>
      <c r="E30" s="12" t="str">
        <f aca="false">IF($J30="","",INDEX('Soru Havuzu'!$G$2:$G$1001,$J30))</f>
        <v/>
      </c>
      <c r="F30" s="12" t="str">
        <f aca="false">IF($J30="","",INDEX('Soru Havuzu'!$H$2:$H$1001,$J30))</f>
        <v/>
      </c>
      <c r="G30" s="12" t="str">
        <f aca="false">IF($J30="","",INDEX('Soru Havuzu'!$B$2:$B$1001,$J30))</f>
        <v/>
      </c>
      <c r="H30" s="12" t="str">
        <f aca="false">IF($J30="","",INDEX('Soru Havuzu'!$C$2:$C$1001,$J30))</f>
        <v/>
      </c>
      <c r="J30" s="10" t="str">
        <f aca="false">IF(19&lt;=MIN($B$3,$B$6),MATCH(19,'Soru Havuzu'!$L$2:$L$1001,0),"")</f>
        <v/>
      </c>
    </row>
    <row r="31" customFormat="false" ht="15" hidden="false" customHeight="false" outlineLevel="0" collapsed="false">
      <c r="A31" s="5" t="str">
        <f aca="false">IF($J31="","",20)</f>
        <v/>
      </c>
      <c r="B31" s="11" t="str">
        <f aca="false">IF($J31="","",INDEX('Soru Havuzu'!$D$2:$D$1001,$J31))</f>
        <v/>
      </c>
      <c r="C31" s="12" t="str">
        <f aca="false">IF($J31="","",INDEX('Soru Havuzu'!$E$2:$E$1001,$J31))</f>
        <v/>
      </c>
      <c r="D31" s="12" t="str">
        <f aca="false">IF($J31="","",INDEX('Soru Havuzu'!$F$2:$F$1001,$J31))</f>
        <v/>
      </c>
      <c r="E31" s="12" t="str">
        <f aca="false">IF($J31="","",INDEX('Soru Havuzu'!$G$2:$G$1001,$J31))</f>
        <v/>
      </c>
      <c r="F31" s="12" t="str">
        <f aca="false">IF($J31="","",INDEX('Soru Havuzu'!$H$2:$H$1001,$J31))</f>
        <v/>
      </c>
      <c r="G31" s="12" t="str">
        <f aca="false">IF($J31="","",INDEX('Soru Havuzu'!$B$2:$B$1001,$J31))</f>
        <v/>
      </c>
      <c r="H31" s="12" t="str">
        <f aca="false">IF($J31="","",INDEX('Soru Havuzu'!$C$2:$C$1001,$J31))</f>
        <v/>
      </c>
      <c r="J31" s="10" t="str">
        <f aca="false">IF(20&lt;=MIN($B$3,$B$6),MATCH(20,'Soru Havuzu'!$L$2:$L$1001,0),"")</f>
        <v/>
      </c>
    </row>
    <row r="32" customFormat="false" ht="15" hidden="false" customHeight="false" outlineLevel="0" collapsed="false">
      <c r="A32" s="5" t="str">
        <f aca="false">IF($J32="","",21)</f>
        <v/>
      </c>
      <c r="B32" s="11" t="str">
        <f aca="false">IF($J32="","",INDEX('Soru Havuzu'!$D$2:$D$1001,$J32))</f>
        <v/>
      </c>
      <c r="C32" s="12" t="str">
        <f aca="false">IF($J32="","",INDEX('Soru Havuzu'!$E$2:$E$1001,$J32))</f>
        <v/>
      </c>
      <c r="D32" s="12" t="str">
        <f aca="false">IF($J32="","",INDEX('Soru Havuzu'!$F$2:$F$1001,$J32))</f>
        <v/>
      </c>
      <c r="E32" s="12" t="str">
        <f aca="false">IF($J32="","",INDEX('Soru Havuzu'!$G$2:$G$1001,$J32))</f>
        <v/>
      </c>
      <c r="F32" s="12" t="str">
        <f aca="false">IF($J32="","",INDEX('Soru Havuzu'!$H$2:$H$1001,$J32))</f>
        <v/>
      </c>
      <c r="G32" s="12" t="str">
        <f aca="false">IF($J32="","",INDEX('Soru Havuzu'!$B$2:$B$1001,$J32))</f>
        <v/>
      </c>
      <c r="H32" s="12" t="str">
        <f aca="false">IF($J32="","",INDEX('Soru Havuzu'!$C$2:$C$1001,$J32))</f>
        <v/>
      </c>
      <c r="J32" s="10" t="str">
        <f aca="false">IF(21&lt;=MIN($B$3,$B$6),MATCH(21,'Soru Havuzu'!$L$2:$L$1001,0),"")</f>
        <v/>
      </c>
    </row>
    <row r="33" customFormat="false" ht="15" hidden="false" customHeight="false" outlineLevel="0" collapsed="false">
      <c r="A33" s="5" t="str">
        <f aca="false">IF($J33="","",22)</f>
        <v/>
      </c>
      <c r="B33" s="11" t="str">
        <f aca="false">IF($J33="","",INDEX('Soru Havuzu'!$D$2:$D$1001,$J33))</f>
        <v/>
      </c>
      <c r="C33" s="12" t="str">
        <f aca="false">IF($J33="","",INDEX('Soru Havuzu'!$E$2:$E$1001,$J33))</f>
        <v/>
      </c>
      <c r="D33" s="12" t="str">
        <f aca="false">IF($J33="","",INDEX('Soru Havuzu'!$F$2:$F$1001,$J33))</f>
        <v/>
      </c>
      <c r="E33" s="12" t="str">
        <f aca="false">IF($J33="","",INDEX('Soru Havuzu'!$G$2:$G$1001,$J33))</f>
        <v/>
      </c>
      <c r="F33" s="12" t="str">
        <f aca="false">IF($J33="","",INDEX('Soru Havuzu'!$H$2:$H$1001,$J33))</f>
        <v/>
      </c>
      <c r="G33" s="12" t="str">
        <f aca="false">IF($J33="","",INDEX('Soru Havuzu'!$B$2:$B$1001,$J33))</f>
        <v/>
      </c>
      <c r="H33" s="12" t="str">
        <f aca="false">IF($J33="","",INDEX('Soru Havuzu'!$C$2:$C$1001,$J33))</f>
        <v/>
      </c>
      <c r="J33" s="10" t="str">
        <f aca="false">IF(22&lt;=MIN($B$3,$B$6),MATCH(22,'Soru Havuzu'!$L$2:$L$1001,0),"")</f>
        <v/>
      </c>
    </row>
    <row r="34" customFormat="false" ht="15" hidden="false" customHeight="false" outlineLevel="0" collapsed="false">
      <c r="A34" s="5" t="str">
        <f aca="false">IF($J34="","",23)</f>
        <v/>
      </c>
      <c r="B34" s="11" t="str">
        <f aca="false">IF($J34="","",INDEX('Soru Havuzu'!$D$2:$D$1001,$J34))</f>
        <v/>
      </c>
      <c r="C34" s="12" t="str">
        <f aca="false">IF($J34="","",INDEX('Soru Havuzu'!$E$2:$E$1001,$J34))</f>
        <v/>
      </c>
      <c r="D34" s="12" t="str">
        <f aca="false">IF($J34="","",INDEX('Soru Havuzu'!$F$2:$F$1001,$J34))</f>
        <v/>
      </c>
      <c r="E34" s="12" t="str">
        <f aca="false">IF($J34="","",INDEX('Soru Havuzu'!$G$2:$G$1001,$J34))</f>
        <v/>
      </c>
      <c r="F34" s="12" t="str">
        <f aca="false">IF($J34="","",INDEX('Soru Havuzu'!$H$2:$H$1001,$J34))</f>
        <v/>
      </c>
      <c r="G34" s="12" t="str">
        <f aca="false">IF($J34="","",INDEX('Soru Havuzu'!$B$2:$B$1001,$J34))</f>
        <v/>
      </c>
      <c r="H34" s="12" t="str">
        <f aca="false">IF($J34="","",INDEX('Soru Havuzu'!$C$2:$C$1001,$J34))</f>
        <v/>
      </c>
      <c r="J34" s="10" t="str">
        <f aca="false">IF(23&lt;=MIN($B$3,$B$6),MATCH(23,'Soru Havuzu'!$L$2:$L$1001,0),"")</f>
        <v/>
      </c>
    </row>
    <row r="35" customFormat="false" ht="15" hidden="false" customHeight="false" outlineLevel="0" collapsed="false">
      <c r="A35" s="5" t="str">
        <f aca="false">IF($J35="","",24)</f>
        <v/>
      </c>
      <c r="B35" s="11" t="str">
        <f aca="false">IF($J35="","",INDEX('Soru Havuzu'!$D$2:$D$1001,$J35))</f>
        <v/>
      </c>
      <c r="C35" s="12" t="str">
        <f aca="false">IF($J35="","",INDEX('Soru Havuzu'!$E$2:$E$1001,$J35))</f>
        <v/>
      </c>
      <c r="D35" s="12" t="str">
        <f aca="false">IF($J35="","",INDEX('Soru Havuzu'!$F$2:$F$1001,$J35))</f>
        <v/>
      </c>
      <c r="E35" s="12" t="str">
        <f aca="false">IF($J35="","",INDEX('Soru Havuzu'!$G$2:$G$1001,$J35))</f>
        <v/>
      </c>
      <c r="F35" s="12" t="str">
        <f aca="false">IF($J35="","",INDEX('Soru Havuzu'!$H$2:$H$1001,$J35))</f>
        <v/>
      </c>
      <c r="G35" s="12" t="str">
        <f aca="false">IF($J35="","",INDEX('Soru Havuzu'!$B$2:$B$1001,$J35))</f>
        <v/>
      </c>
      <c r="H35" s="12" t="str">
        <f aca="false">IF($J35="","",INDEX('Soru Havuzu'!$C$2:$C$1001,$J35))</f>
        <v/>
      </c>
      <c r="J35" s="10" t="str">
        <f aca="false">IF(24&lt;=MIN($B$3,$B$6),MATCH(24,'Soru Havuzu'!$L$2:$L$1001,0),"")</f>
        <v/>
      </c>
    </row>
    <row r="36" customFormat="false" ht="15" hidden="false" customHeight="false" outlineLevel="0" collapsed="false">
      <c r="A36" s="5" t="str">
        <f aca="false">IF($J36="","",25)</f>
        <v/>
      </c>
      <c r="B36" s="11" t="str">
        <f aca="false">IF($J36="","",INDEX('Soru Havuzu'!$D$2:$D$1001,$J36))</f>
        <v/>
      </c>
      <c r="C36" s="12" t="str">
        <f aca="false">IF($J36="","",INDEX('Soru Havuzu'!$E$2:$E$1001,$J36))</f>
        <v/>
      </c>
      <c r="D36" s="12" t="str">
        <f aca="false">IF($J36="","",INDEX('Soru Havuzu'!$F$2:$F$1001,$J36))</f>
        <v/>
      </c>
      <c r="E36" s="12" t="str">
        <f aca="false">IF($J36="","",INDEX('Soru Havuzu'!$G$2:$G$1001,$J36))</f>
        <v/>
      </c>
      <c r="F36" s="12" t="str">
        <f aca="false">IF($J36="","",INDEX('Soru Havuzu'!$H$2:$H$1001,$J36))</f>
        <v/>
      </c>
      <c r="G36" s="12" t="str">
        <f aca="false">IF($J36="","",INDEX('Soru Havuzu'!$B$2:$B$1001,$J36))</f>
        <v/>
      </c>
      <c r="H36" s="12" t="str">
        <f aca="false">IF($J36="","",INDEX('Soru Havuzu'!$C$2:$C$1001,$J36))</f>
        <v/>
      </c>
      <c r="J36" s="10" t="str">
        <f aca="false">IF(25&lt;=MIN($B$3,$B$6),MATCH(25,'Soru Havuzu'!$L$2:$L$1001,0),"")</f>
        <v/>
      </c>
    </row>
    <row r="37" customFormat="false" ht="15" hidden="false" customHeight="false" outlineLevel="0" collapsed="false">
      <c r="A37" s="5" t="str">
        <f aca="false">IF($J37="","",26)</f>
        <v/>
      </c>
      <c r="B37" s="11" t="str">
        <f aca="false">IF($J37="","",INDEX('Soru Havuzu'!$D$2:$D$1001,$J37))</f>
        <v/>
      </c>
      <c r="C37" s="12" t="str">
        <f aca="false">IF($J37="","",INDEX('Soru Havuzu'!$E$2:$E$1001,$J37))</f>
        <v/>
      </c>
      <c r="D37" s="12" t="str">
        <f aca="false">IF($J37="","",INDEX('Soru Havuzu'!$F$2:$F$1001,$J37))</f>
        <v/>
      </c>
      <c r="E37" s="12" t="str">
        <f aca="false">IF($J37="","",INDEX('Soru Havuzu'!$G$2:$G$1001,$J37))</f>
        <v/>
      </c>
      <c r="F37" s="12" t="str">
        <f aca="false">IF($J37="","",INDEX('Soru Havuzu'!$H$2:$H$1001,$J37))</f>
        <v/>
      </c>
      <c r="G37" s="12" t="str">
        <f aca="false">IF($J37="","",INDEX('Soru Havuzu'!$B$2:$B$1001,$J37))</f>
        <v/>
      </c>
      <c r="H37" s="12" t="str">
        <f aca="false">IF($J37="","",INDEX('Soru Havuzu'!$C$2:$C$1001,$J37))</f>
        <v/>
      </c>
      <c r="J37" s="10" t="str">
        <f aca="false">IF(26&lt;=MIN($B$3,$B$6),MATCH(26,'Soru Havuzu'!$L$2:$L$1001,0),"")</f>
        <v/>
      </c>
    </row>
    <row r="38" customFormat="false" ht="15" hidden="false" customHeight="false" outlineLevel="0" collapsed="false">
      <c r="A38" s="5" t="str">
        <f aca="false">IF($J38="","",27)</f>
        <v/>
      </c>
      <c r="B38" s="11" t="str">
        <f aca="false">IF($J38="","",INDEX('Soru Havuzu'!$D$2:$D$1001,$J38))</f>
        <v/>
      </c>
      <c r="C38" s="12" t="str">
        <f aca="false">IF($J38="","",INDEX('Soru Havuzu'!$E$2:$E$1001,$J38))</f>
        <v/>
      </c>
      <c r="D38" s="12" t="str">
        <f aca="false">IF($J38="","",INDEX('Soru Havuzu'!$F$2:$F$1001,$J38))</f>
        <v/>
      </c>
      <c r="E38" s="12" t="str">
        <f aca="false">IF($J38="","",INDEX('Soru Havuzu'!$G$2:$G$1001,$J38))</f>
        <v/>
      </c>
      <c r="F38" s="12" t="str">
        <f aca="false">IF($J38="","",INDEX('Soru Havuzu'!$H$2:$H$1001,$J38))</f>
        <v/>
      </c>
      <c r="G38" s="12" t="str">
        <f aca="false">IF($J38="","",INDEX('Soru Havuzu'!$B$2:$B$1001,$J38))</f>
        <v/>
      </c>
      <c r="H38" s="12" t="str">
        <f aca="false">IF($J38="","",INDEX('Soru Havuzu'!$C$2:$C$1001,$J38))</f>
        <v/>
      </c>
      <c r="J38" s="10" t="str">
        <f aca="false">IF(27&lt;=MIN($B$3,$B$6),MATCH(27,'Soru Havuzu'!$L$2:$L$1001,0),"")</f>
        <v/>
      </c>
    </row>
    <row r="39" customFormat="false" ht="15" hidden="false" customHeight="false" outlineLevel="0" collapsed="false">
      <c r="A39" s="5" t="str">
        <f aca="false">IF($J39="","",28)</f>
        <v/>
      </c>
      <c r="B39" s="11" t="str">
        <f aca="false">IF($J39="","",INDEX('Soru Havuzu'!$D$2:$D$1001,$J39))</f>
        <v/>
      </c>
      <c r="C39" s="12" t="str">
        <f aca="false">IF($J39="","",INDEX('Soru Havuzu'!$E$2:$E$1001,$J39))</f>
        <v/>
      </c>
      <c r="D39" s="12" t="str">
        <f aca="false">IF($J39="","",INDEX('Soru Havuzu'!$F$2:$F$1001,$J39))</f>
        <v/>
      </c>
      <c r="E39" s="12" t="str">
        <f aca="false">IF($J39="","",INDEX('Soru Havuzu'!$G$2:$G$1001,$J39))</f>
        <v/>
      </c>
      <c r="F39" s="12" t="str">
        <f aca="false">IF($J39="","",INDEX('Soru Havuzu'!$H$2:$H$1001,$J39))</f>
        <v/>
      </c>
      <c r="G39" s="12" t="str">
        <f aca="false">IF($J39="","",INDEX('Soru Havuzu'!$B$2:$B$1001,$J39))</f>
        <v/>
      </c>
      <c r="H39" s="12" t="str">
        <f aca="false">IF($J39="","",INDEX('Soru Havuzu'!$C$2:$C$1001,$J39))</f>
        <v/>
      </c>
      <c r="J39" s="10" t="str">
        <f aca="false">IF(28&lt;=MIN($B$3,$B$6),MATCH(28,'Soru Havuzu'!$L$2:$L$1001,0),"")</f>
        <v/>
      </c>
    </row>
    <row r="40" customFormat="false" ht="15" hidden="false" customHeight="false" outlineLevel="0" collapsed="false">
      <c r="A40" s="5" t="str">
        <f aca="false">IF($J40="","",29)</f>
        <v/>
      </c>
      <c r="B40" s="11" t="str">
        <f aca="false">IF($J40="","",INDEX('Soru Havuzu'!$D$2:$D$1001,$J40))</f>
        <v/>
      </c>
      <c r="C40" s="12" t="str">
        <f aca="false">IF($J40="","",INDEX('Soru Havuzu'!$E$2:$E$1001,$J40))</f>
        <v/>
      </c>
      <c r="D40" s="12" t="str">
        <f aca="false">IF($J40="","",INDEX('Soru Havuzu'!$F$2:$F$1001,$J40))</f>
        <v/>
      </c>
      <c r="E40" s="12" t="str">
        <f aca="false">IF($J40="","",INDEX('Soru Havuzu'!$G$2:$G$1001,$J40))</f>
        <v/>
      </c>
      <c r="F40" s="12" t="str">
        <f aca="false">IF($J40="","",INDEX('Soru Havuzu'!$H$2:$H$1001,$J40))</f>
        <v/>
      </c>
      <c r="G40" s="12" t="str">
        <f aca="false">IF($J40="","",INDEX('Soru Havuzu'!$B$2:$B$1001,$J40))</f>
        <v/>
      </c>
      <c r="H40" s="12" t="str">
        <f aca="false">IF($J40="","",INDEX('Soru Havuzu'!$C$2:$C$1001,$J40))</f>
        <v/>
      </c>
      <c r="J40" s="10" t="str">
        <f aca="false">IF(29&lt;=MIN($B$3,$B$6),MATCH(29,'Soru Havuzu'!$L$2:$L$1001,0),"")</f>
        <v/>
      </c>
    </row>
    <row r="41" customFormat="false" ht="15" hidden="false" customHeight="false" outlineLevel="0" collapsed="false">
      <c r="A41" s="5" t="str">
        <f aca="false">IF($J41="","",30)</f>
        <v/>
      </c>
      <c r="B41" s="11" t="str">
        <f aca="false">IF($J41="","",INDEX('Soru Havuzu'!$D$2:$D$1001,$J41))</f>
        <v/>
      </c>
      <c r="C41" s="12" t="str">
        <f aca="false">IF($J41="","",INDEX('Soru Havuzu'!$E$2:$E$1001,$J41))</f>
        <v/>
      </c>
      <c r="D41" s="12" t="str">
        <f aca="false">IF($J41="","",INDEX('Soru Havuzu'!$F$2:$F$1001,$J41))</f>
        <v/>
      </c>
      <c r="E41" s="12" t="str">
        <f aca="false">IF($J41="","",INDEX('Soru Havuzu'!$G$2:$G$1001,$J41))</f>
        <v/>
      </c>
      <c r="F41" s="12" t="str">
        <f aca="false">IF($J41="","",INDEX('Soru Havuzu'!$H$2:$H$1001,$J41))</f>
        <v/>
      </c>
      <c r="G41" s="12" t="str">
        <f aca="false">IF($J41="","",INDEX('Soru Havuzu'!$B$2:$B$1001,$J41))</f>
        <v/>
      </c>
      <c r="H41" s="12" t="str">
        <f aca="false">IF($J41="","",INDEX('Soru Havuzu'!$C$2:$C$1001,$J41))</f>
        <v/>
      </c>
      <c r="J41" s="10" t="str">
        <f aca="false">IF(30&lt;=MIN($B$3,$B$6),MATCH(30,'Soru Havuzu'!$L$2:$L$1001,0),"")</f>
        <v/>
      </c>
    </row>
    <row r="42" customFormat="false" ht="15" hidden="false" customHeight="false" outlineLevel="0" collapsed="false">
      <c r="A42" s="5" t="str">
        <f aca="false">IF($J42="","",31)</f>
        <v/>
      </c>
      <c r="B42" s="11" t="str">
        <f aca="false">IF($J42="","",INDEX('Soru Havuzu'!$D$2:$D$1001,$J42))</f>
        <v/>
      </c>
      <c r="C42" s="12" t="str">
        <f aca="false">IF($J42="","",INDEX('Soru Havuzu'!$E$2:$E$1001,$J42))</f>
        <v/>
      </c>
      <c r="D42" s="12" t="str">
        <f aca="false">IF($J42="","",INDEX('Soru Havuzu'!$F$2:$F$1001,$J42))</f>
        <v/>
      </c>
      <c r="E42" s="12" t="str">
        <f aca="false">IF($J42="","",INDEX('Soru Havuzu'!$G$2:$G$1001,$J42))</f>
        <v/>
      </c>
      <c r="F42" s="12" t="str">
        <f aca="false">IF($J42="","",INDEX('Soru Havuzu'!$H$2:$H$1001,$J42))</f>
        <v/>
      </c>
      <c r="G42" s="12" t="str">
        <f aca="false">IF($J42="","",INDEX('Soru Havuzu'!$B$2:$B$1001,$J42))</f>
        <v/>
      </c>
      <c r="H42" s="12" t="str">
        <f aca="false">IF($J42="","",INDEX('Soru Havuzu'!$C$2:$C$1001,$J42))</f>
        <v/>
      </c>
      <c r="J42" s="10" t="str">
        <f aca="false">IF(31&lt;=MIN($B$3,$B$6),MATCH(31,'Soru Havuzu'!$L$2:$L$1001,0),"")</f>
        <v/>
      </c>
    </row>
    <row r="43" customFormat="false" ht="15" hidden="false" customHeight="false" outlineLevel="0" collapsed="false">
      <c r="A43" s="5" t="str">
        <f aca="false">IF($J43="","",32)</f>
        <v/>
      </c>
      <c r="B43" s="11" t="str">
        <f aca="false">IF($J43="","",INDEX('Soru Havuzu'!$D$2:$D$1001,$J43))</f>
        <v/>
      </c>
      <c r="C43" s="12" t="str">
        <f aca="false">IF($J43="","",INDEX('Soru Havuzu'!$E$2:$E$1001,$J43))</f>
        <v/>
      </c>
      <c r="D43" s="12" t="str">
        <f aca="false">IF($J43="","",INDEX('Soru Havuzu'!$F$2:$F$1001,$J43))</f>
        <v/>
      </c>
      <c r="E43" s="12" t="str">
        <f aca="false">IF($J43="","",INDEX('Soru Havuzu'!$G$2:$G$1001,$J43))</f>
        <v/>
      </c>
      <c r="F43" s="12" t="str">
        <f aca="false">IF($J43="","",INDEX('Soru Havuzu'!$H$2:$H$1001,$J43))</f>
        <v/>
      </c>
      <c r="G43" s="12" t="str">
        <f aca="false">IF($J43="","",INDEX('Soru Havuzu'!$B$2:$B$1001,$J43))</f>
        <v/>
      </c>
      <c r="H43" s="12" t="str">
        <f aca="false">IF($J43="","",INDEX('Soru Havuzu'!$C$2:$C$1001,$J43))</f>
        <v/>
      </c>
      <c r="J43" s="10" t="str">
        <f aca="false">IF(32&lt;=MIN($B$3,$B$6),MATCH(32,'Soru Havuzu'!$L$2:$L$1001,0),"")</f>
        <v/>
      </c>
    </row>
    <row r="44" customFormat="false" ht="15" hidden="false" customHeight="false" outlineLevel="0" collapsed="false">
      <c r="A44" s="5" t="str">
        <f aca="false">IF($J44="","",33)</f>
        <v/>
      </c>
      <c r="B44" s="11" t="str">
        <f aca="false">IF($J44="","",INDEX('Soru Havuzu'!$D$2:$D$1001,$J44))</f>
        <v/>
      </c>
      <c r="C44" s="12" t="str">
        <f aca="false">IF($J44="","",INDEX('Soru Havuzu'!$E$2:$E$1001,$J44))</f>
        <v/>
      </c>
      <c r="D44" s="12" t="str">
        <f aca="false">IF($J44="","",INDEX('Soru Havuzu'!$F$2:$F$1001,$J44))</f>
        <v/>
      </c>
      <c r="E44" s="12" t="str">
        <f aca="false">IF($J44="","",INDEX('Soru Havuzu'!$G$2:$G$1001,$J44))</f>
        <v/>
      </c>
      <c r="F44" s="12" t="str">
        <f aca="false">IF($J44="","",INDEX('Soru Havuzu'!$H$2:$H$1001,$J44))</f>
        <v/>
      </c>
      <c r="G44" s="12" t="str">
        <f aca="false">IF($J44="","",INDEX('Soru Havuzu'!$B$2:$B$1001,$J44))</f>
        <v/>
      </c>
      <c r="H44" s="12" t="str">
        <f aca="false">IF($J44="","",INDEX('Soru Havuzu'!$C$2:$C$1001,$J44))</f>
        <v/>
      </c>
      <c r="J44" s="10" t="str">
        <f aca="false">IF(33&lt;=MIN($B$3,$B$6),MATCH(33,'Soru Havuzu'!$L$2:$L$1001,0),"")</f>
        <v/>
      </c>
    </row>
    <row r="45" customFormat="false" ht="15" hidden="false" customHeight="false" outlineLevel="0" collapsed="false">
      <c r="A45" s="5" t="str">
        <f aca="false">IF($J45="","",34)</f>
        <v/>
      </c>
      <c r="B45" s="11" t="str">
        <f aca="false">IF($J45="","",INDEX('Soru Havuzu'!$D$2:$D$1001,$J45))</f>
        <v/>
      </c>
      <c r="C45" s="12" t="str">
        <f aca="false">IF($J45="","",INDEX('Soru Havuzu'!$E$2:$E$1001,$J45))</f>
        <v/>
      </c>
      <c r="D45" s="12" t="str">
        <f aca="false">IF($J45="","",INDEX('Soru Havuzu'!$F$2:$F$1001,$J45))</f>
        <v/>
      </c>
      <c r="E45" s="12" t="str">
        <f aca="false">IF($J45="","",INDEX('Soru Havuzu'!$G$2:$G$1001,$J45))</f>
        <v/>
      </c>
      <c r="F45" s="12" t="str">
        <f aca="false">IF($J45="","",INDEX('Soru Havuzu'!$H$2:$H$1001,$J45))</f>
        <v/>
      </c>
      <c r="G45" s="12" t="str">
        <f aca="false">IF($J45="","",INDEX('Soru Havuzu'!$B$2:$B$1001,$J45))</f>
        <v/>
      </c>
      <c r="H45" s="12" t="str">
        <f aca="false">IF($J45="","",INDEX('Soru Havuzu'!$C$2:$C$1001,$J45))</f>
        <v/>
      </c>
      <c r="J45" s="10" t="str">
        <f aca="false">IF(34&lt;=MIN($B$3,$B$6),MATCH(34,'Soru Havuzu'!$L$2:$L$1001,0),"")</f>
        <v/>
      </c>
    </row>
    <row r="46" customFormat="false" ht="15" hidden="false" customHeight="false" outlineLevel="0" collapsed="false">
      <c r="A46" s="5" t="str">
        <f aca="false">IF($J46="","",35)</f>
        <v/>
      </c>
      <c r="B46" s="11" t="str">
        <f aca="false">IF($J46="","",INDEX('Soru Havuzu'!$D$2:$D$1001,$J46))</f>
        <v/>
      </c>
      <c r="C46" s="12" t="str">
        <f aca="false">IF($J46="","",INDEX('Soru Havuzu'!$E$2:$E$1001,$J46))</f>
        <v/>
      </c>
      <c r="D46" s="12" t="str">
        <f aca="false">IF($J46="","",INDEX('Soru Havuzu'!$F$2:$F$1001,$J46))</f>
        <v/>
      </c>
      <c r="E46" s="12" t="str">
        <f aca="false">IF($J46="","",INDEX('Soru Havuzu'!$G$2:$G$1001,$J46))</f>
        <v/>
      </c>
      <c r="F46" s="12" t="str">
        <f aca="false">IF($J46="","",INDEX('Soru Havuzu'!$H$2:$H$1001,$J46))</f>
        <v/>
      </c>
      <c r="G46" s="12" t="str">
        <f aca="false">IF($J46="","",INDEX('Soru Havuzu'!$B$2:$B$1001,$J46))</f>
        <v/>
      </c>
      <c r="H46" s="12" t="str">
        <f aca="false">IF($J46="","",INDEX('Soru Havuzu'!$C$2:$C$1001,$J46))</f>
        <v/>
      </c>
      <c r="J46" s="10" t="str">
        <f aca="false">IF(35&lt;=MIN($B$3,$B$6),MATCH(35,'Soru Havuzu'!$L$2:$L$1001,0),"")</f>
        <v/>
      </c>
    </row>
    <row r="47" customFormat="false" ht="15" hidden="false" customHeight="false" outlineLevel="0" collapsed="false">
      <c r="A47" s="5" t="str">
        <f aca="false">IF($J47="","",36)</f>
        <v/>
      </c>
      <c r="B47" s="11" t="str">
        <f aca="false">IF($J47="","",INDEX('Soru Havuzu'!$D$2:$D$1001,$J47))</f>
        <v/>
      </c>
      <c r="C47" s="12" t="str">
        <f aca="false">IF($J47="","",INDEX('Soru Havuzu'!$E$2:$E$1001,$J47))</f>
        <v/>
      </c>
      <c r="D47" s="12" t="str">
        <f aca="false">IF($J47="","",INDEX('Soru Havuzu'!$F$2:$F$1001,$J47))</f>
        <v/>
      </c>
      <c r="E47" s="12" t="str">
        <f aca="false">IF($J47="","",INDEX('Soru Havuzu'!$G$2:$G$1001,$J47))</f>
        <v/>
      </c>
      <c r="F47" s="12" t="str">
        <f aca="false">IF($J47="","",INDEX('Soru Havuzu'!$H$2:$H$1001,$J47))</f>
        <v/>
      </c>
      <c r="G47" s="12" t="str">
        <f aca="false">IF($J47="","",INDEX('Soru Havuzu'!$B$2:$B$1001,$J47))</f>
        <v/>
      </c>
      <c r="H47" s="12" t="str">
        <f aca="false">IF($J47="","",INDEX('Soru Havuzu'!$C$2:$C$1001,$J47))</f>
        <v/>
      </c>
      <c r="J47" s="10" t="str">
        <f aca="false">IF(36&lt;=MIN($B$3,$B$6),MATCH(36,'Soru Havuzu'!$L$2:$L$1001,0),"")</f>
        <v/>
      </c>
    </row>
    <row r="48" customFormat="false" ht="15" hidden="false" customHeight="false" outlineLevel="0" collapsed="false">
      <c r="A48" s="5" t="str">
        <f aca="false">IF($J48="","",37)</f>
        <v/>
      </c>
      <c r="B48" s="11" t="str">
        <f aca="false">IF($J48="","",INDEX('Soru Havuzu'!$D$2:$D$1001,$J48))</f>
        <v/>
      </c>
      <c r="C48" s="12" t="str">
        <f aca="false">IF($J48="","",INDEX('Soru Havuzu'!$E$2:$E$1001,$J48))</f>
        <v/>
      </c>
      <c r="D48" s="12" t="str">
        <f aca="false">IF($J48="","",INDEX('Soru Havuzu'!$F$2:$F$1001,$J48))</f>
        <v/>
      </c>
      <c r="E48" s="12" t="str">
        <f aca="false">IF($J48="","",INDEX('Soru Havuzu'!$G$2:$G$1001,$J48))</f>
        <v/>
      </c>
      <c r="F48" s="12" t="str">
        <f aca="false">IF($J48="","",INDEX('Soru Havuzu'!$H$2:$H$1001,$J48))</f>
        <v/>
      </c>
      <c r="G48" s="12" t="str">
        <f aca="false">IF($J48="","",INDEX('Soru Havuzu'!$B$2:$B$1001,$J48))</f>
        <v/>
      </c>
      <c r="H48" s="12" t="str">
        <f aca="false">IF($J48="","",INDEX('Soru Havuzu'!$C$2:$C$1001,$J48))</f>
        <v/>
      </c>
      <c r="J48" s="10" t="str">
        <f aca="false">IF(37&lt;=MIN($B$3,$B$6),MATCH(37,'Soru Havuzu'!$L$2:$L$1001,0),"")</f>
        <v/>
      </c>
    </row>
    <row r="49" customFormat="false" ht="15" hidden="false" customHeight="false" outlineLevel="0" collapsed="false">
      <c r="A49" s="5" t="str">
        <f aca="false">IF($J49="","",38)</f>
        <v/>
      </c>
      <c r="B49" s="11" t="str">
        <f aca="false">IF($J49="","",INDEX('Soru Havuzu'!$D$2:$D$1001,$J49))</f>
        <v/>
      </c>
      <c r="C49" s="12" t="str">
        <f aca="false">IF($J49="","",INDEX('Soru Havuzu'!$E$2:$E$1001,$J49))</f>
        <v/>
      </c>
      <c r="D49" s="12" t="str">
        <f aca="false">IF($J49="","",INDEX('Soru Havuzu'!$F$2:$F$1001,$J49))</f>
        <v/>
      </c>
      <c r="E49" s="12" t="str">
        <f aca="false">IF($J49="","",INDEX('Soru Havuzu'!$G$2:$G$1001,$J49))</f>
        <v/>
      </c>
      <c r="F49" s="12" t="str">
        <f aca="false">IF($J49="","",INDEX('Soru Havuzu'!$H$2:$H$1001,$J49))</f>
        <v/>
      </c>
      <c r="G49" s="12" t="str">
        <f aca="false">IF($J49="","",INDEX('Soru Havuzu'!$B$2:$B$1001,$J49))</f>
        <v/>
      </c>
      <c r="H49" s="12" t="str">
        <f aca="false">IF($J49="","",INDEX('Soru Havuzu'!$C$2:$C$1001,$J49))</f>
        <v/>
      </c>
      <c r="J49" s="10" t="str">
        <f aca="false">IF(38&lt;=MIN($B$3,$B$6),MATCH(38,'Soru Havuzu'!$L$2:$L$1001,0),"")</f>
        <v/>
      </c>
    </row>
    <row r="50" customFormat="false" ht="15" hidden="false" customHeight="false" outlineLevel="0" collapsed="false">
      <c r="A50" s="5" t="str">
        <f aca="false">IF($J50="","",39)</f>
        <v/>
      </c>
      <c r="B50" s="11" t="str">
        <f aca="false">IF($J50="","",INDEX('Soru Havuzu'!$D$2:$D$1001,$J50))</f>
        <v/>
      </c>
      <c r="C50" s="12" t="str">
        <f aca="false">IF($J50="","",INDEX('Soru Havuzu'!$E$2:$E$1001,$J50))</f>
        <v/>
      </c>
      <c r="D50" s="12" t="str">
        <f aca="false">IF($J50="","",INDEX('Soru Havuzu'!$F$2:$F$1001,$J50))</f>
        <v/>
      </c>
      <c r="E50" s="12" t="str">
        <f aca="false">IF($J50="","",INDEX('Soru Havuzu'!$G$2:$G$1001,$J50))</f>
        <v/>
      </c>
      <c r="F50" s="12" t="str">
        <f aca="false">IF($J50="","",INDEX('Soru Havuzu'!$H$2:$H$1001,$J50))</f>
        <v/>
      </c>
      <c r="G50" s="12" t="str">
        <f aca="false">IF($J50="","",INDEX('Soru Havuzu'!$B$2:$B$1001,$J50))</f>
        <v/>
      </c>
      <c r="H50" s="12" t="str">
        <f aca="false">IF($J50="","",INDEX('Soru Havuzu'!$C$2:$C$1001,$J50))</f>
        <v/>
      </c>
      <c r="J50" s="10" t="str">
        <f aca="false">IF(39&lt;=MIN($B$3,$B$6),MATCH(39,'Soru Havuzu'!$L$2:$L$1001,0),"")</f>
        <v/>
      </c>
    </row>
    <row r="51" customFormat="false" ht="15" hidden="false" customHeight="false" outlineLevel="0" collapsed="false">
      <c r="A51" s="5" t="str">
        <f aca="false">IF($J51="","",40)</f>
        <v/>
      </c>
      <c r="B51" s="11" t="str">
        <f aca="false">IF($J51="","",INDEX('Soru Havuzu'!$D$2:$D$1001,$J51))</f>
        <v/>
      </c>
      <c r="C51" s="12" t="str">
        <f aca="false">IF($J51="","",INDEX('Soru Havuzu'!$E$2:$E$1001,$J51))</f>
        <v/>
      </c>
      <c r="D51" s="12" t="str">
        <f aca="false">IF($J51="","",INDEX('Soru Havuzu'!$F$2:$F$1001,$J51))</f>
        <v/>
      </c>
      <c r="E51" s="12" t="str">
        <f aca="false">IF($J51="","",INDEX('Soru Havuzu'!$G$2:$G$1001,$J51))</f>
        <v/>
      </c>
      <c r="F51" s="12" t="str">
        <f aca="false">IF($J51="","",INDEX('Soru Havuzu'!$H$2:$H$1001,$J51))</f>
        <v/>
      </c>
      <c r="G51" s="12" t="str">
        <f aca="false">IF($J51="","",INDEX('Soru Havuzu'!$B$2:$B$1001,$J51))</f>
        <v/>
      </c>
      <c r="H51" s="12" t="str">
        <f aca="false">IF($J51="","",INDEX('Soru Havuzu'!$C$2:$C$1001,$J51))</f>
        <v/>
      </c>
      <c r="J51" s="10" t="str">
        <f aca="false">IF(40&lt;=MIN($B$3,$B$6),MATCH(40,'Soru Havuzu'!$L$2:$L$1001,0),"")</f>
        <v/>
      </c>
    </row>
    <row r="52" customFormat="false" ht="15" hidden="false" customHeight="false" outlineLevel="0" collapsed="false">
      <c r="A52" s="5" t="str">
        <f aca="false">IF($J52="","",41)</f>
        <v/>
      </c>
      <c r="B52" s="11" t="str">
        <f aca="false">IF($J52="","",INDEX('Soru Havuzu'!$D$2:$D$1001,$J52))</f>
        <v/>
      </c>
      <c r="C52" s="12" t="str">
        <f aca="false">IF($J52="","",INDEX('Soru Havuzu'!$E$2:$E$1001,$J52))</f>
        <v/>
      </c>
      <c r="D52" s="12" t="str">
        <f aca="false">IF($J52="","",INDEX('Soru Havuzu'!$F$2:$F$1001,$J52))</f>
        <v/>
      </c>
      <c r="E52" s="12" t="str">
        <f aca="false">IF($J52="","",INDEX('Soru Havuzu'!$G$2:$G$1001,$J52))</f>
        <v/>
      </c>
      <c r="F52" s="12" t="str">
        <f aca="false">IF($J52="","",INDEX('Soru Havuzu'!$H$2:$H$1001,$J52))</f>
        <v/>
      </c>
      <c r="G52" s="12" t="str">
        <f aca="false">IF($J52="","",INDEX('Soru Havuzu'!$B$2:$B$1001,$J52))</f>
        <v/>
      </c>
      <c r="H52" s="12" t="str">
        <f aca="false">IF($J52="","",INDEX('Soru Havuzu'!$C$2:$C$1001,$J52))</f>
        <v/>
      </c>
      <c r="J52" s="10" t="str">
        <f aca="false">IF(41&lt;=MIN($B$3,$B$6),MATCH(41,'Soru Havuzu'!$L$2:$L$1001,0),"")</f>
        <v/>
      </c>
    </row>
    <row r="53" customFormat="false" ht="15" hidden="false" customHeight="false" outlineLevel="0" collapsed="false">
      <c r="A53" s="5" t="str">
        <f aca="false">IF($J53="","",42)</f>
        <v/>
      </c>
      <c r="B53" s="11" t="str">
        <f aca="false">IF($J53="","",INDEX('Soru Havuzu'!$D$2:$D$1001,$J53))</f>
        <v/>
      </c>
      <c r="C53" s="12" t="str">
        <f aca="false">IF($J53="","",INDEX('Soru Havuzu'!$E$2:$E$1001,$J53))</f>
        <v/>
      </c>
      <c r="D53" s="12" t="str">
        <f aca="false">IF($J53="","",INDEX('Soru Havuzu'!$F$2:$F$1001,$J53))</f>
        <v/>
      </c>
      <c r="E53" s="12" t="str">
        <f aca="false">IF($J53="","",INDEX('Soru Havuzu'!$G$2:$G$1001,$J53))</f>
        <v/>
      </c>
      <c r="F53" s="12" t="str">
        <f aca="false">IF($J53="","",INDEX('Soru Havuzu'!$H$2:$H$1001,$J53))</f>
        <v/>
      </c>
      <c r="G53" s="12" t="str">
        <f aca="false">IF($J53="","",INDEX('Soru Havuzu'!$B$2:$B$1001,$J53))</f>
        <v/>
      </c>
      <c r="H53" s="12" t="str">
        <f aca="false">IF($J53="","",INDEX('Soru Havuzu'!$C$2:$C$1001,$J53))</f>
        <v/>
      </c>
      <c r="J53" s="10" t="str">
        <f aca="false">IF(42&lt;=MIN($B$3,$B$6),MATCH(42,'Soru Havuzu'!$L$2:$L$1001,0),"")</f>
        <v/>
      </c>
    </row>
    <row r="54" customFormat="false" ht="15" hidden="false" customHeight="false" outlineLevel="0" collapsed="false">
      <c r="A54" s="5" t="str">
        <f aca="false">IF($J54="","",43)</f>
        <v/>
      </c>
      <c r="B54" s="11" t="str">
        <f aca="false">IF($J54="","",INDEX('Soru Havuzu'!$D$2:$D$1001,$J54))</f>
        <v/>
      </c>
      <c r="C54" s="12" t="str">
        <f aca="false">IF($J54="","",INDEX('Soru Havuzu'!$E$2:$E$1001,$J54))</f>
        <v/>
      </c>
      <c r="D54" s="12" t="str">
        <f aca="false">IF($J54="","",INDEX('Soru Havuzu'!$F$2:$F$1001,$J54))</f>
        <v/>
      </c>
      <c r="E54" s="12" t="str">
        <f aca="false">IF($J54="","",INDEX('Soru Havuzu'!$G$2:$G$1001,$J54))</f>
        <v/>
      </c>
      <c r="F54" s="12" t="str">
        <f aca="false">IF($J54="","",INDEX('Soru Havuzu'!$H$2:$H$1001,$J54))</f>
        <v/>
      </c>
      <c r="G54" s="12" t="str">
        <f aca="false">IF($J54="","",INDEX('Soru Havuzu'!$B$2:$B$1001,$J54))</f>
        <v/>
      </c>
      <c r="H54" s="12" t="str">
        <f aca="false">IF($J54="","",INDEX('Soru Havuzu'!$C$2:$C$1001,$J54))</f>
        <v/>
      </c>
      <c r="J54" s="10" t="str">
        <f aca="false">IF(43&lt;=MIN($B$3,$B$6),MATCH(43,'Soru Havuzu'!$L$2:$L$1001,0),"")</f>
        <v/>
      </c>
    </row>
    <row r="55" customFormat="false" ht="15" hidden="false" customHeight="false" outlineLevel="0" collapsed="false">
      <c r="A55" s="5" t="str">
        <f aca="false">IF($J55="","",44)</f>
        <v/>
      </c>
      <c r="B55" s="11" t="str">
        <f aca="false">IF($J55="","",INDEX('Soru Havuzu'!$D$2:$D$1001,$J55))</f>
        <v/>
      </c>
      <c r="C55" s="12" t="str">
        <f aca="false">IF($J55="","",INDEX('Soru Havuzu'!$E$2:$E$1001,$J55))</f>
        <v/>
      </c>
      <c r="D55" s="12" t="str">
        <f aca="false">IF($J55="","",INDEX('Soru Havuzu'!$F$2:$F$1001,$J55))</f>
        <v/>
      </c>
      <c r="E55" s="12" t="str">
        <f aca="false">IF($J55="","",INDEX('Soru Havuzu'!$G$2:$G$1001,$J55))</f>
        <v/>
      </c>
      <c r="F55" s="12" t="str">
        <f aca="false">IF($J55="","",INDEX('Soru Havuzu'!$H$2:$H$1001,$J55))</f>
        <v/>
      </c>
      <c r="G55" s="12" t="str">
        <f aca="false">IF($J55="","",INDEX('Soru Havuzu'!$B$2:$B$1001,$J55))</f>
        <v/>
      </c>
      <c r="H55" s="12" t="str">
        <f aca="false">IF($J55="","",INDEX('Soru Havuzu'!$C$2:$C$1001,$J55))</f>
        <v/>
      </c>
      <c r="J55" s="10" t="str">
        <f aca="false">IF(44&lt;=MIN($B$3,$B$6),MATCH(44,'Soru Havuzu'!$L$2:$L$1001,0),"")</f>
        <v/>
      </c>
    </row>
    <row r="56" customFormat="false" ht="15" hidden="false" customHeight="false" outlineLevel="0" collapsed="false">
      <c r="A56" s="5" t="str">
        <f aca="false">IF($J56="","",45)</f>
        <v/>
      </c>
      <c r="B56" s="11" t="str">
        <f aca="false">IF($J56="","",INDEX('Soru Havuzu'!$D$2:$D$1001,$J56))</f>
        <v/>
      </c>
      <c r="C56" s="12" t="str">
        <f aca="false">IF($J56="","",INDEX('Soru Havuzu'!$E$2:$E$1001,$J56))</f>
        <v/>
      </c>
      <c r="D56" s="12" t="str">
        <f aca="false">IF($J56="","",INDEX('Soru Havuzu'!$F$2:$F$1001,$J56))</f>
        <v/>
      </c>
      <c r="E56" s="12" t="str">
        <f aca="false">IF($J56="","",INDEX('Soru Havuzu'!$G$2:$G$1001,$J56))</f>
        <v/>
      </c>
      <c r="F56" s="12" t="str">
        <f aca="false">IF($J56="","",INDEX('Soru Havuzu'!$H$2:$H$1001,$J56))</f>
        <v/>
      </c>
      <c r="G56" s="12" t="str">
        <f aca="false">IF($J56="","",INDEX('Soru Havuzu'!$B$2:$B$1001,$J56))</f>
        <v/>
      </c>
      <c r="H56" s="12" t="str">
        <f aca="false">IF($J56="","",INDEX('Soru Havuzu'!$C$2:$C$1001,$J56))</f>
        <v/>
      </c>
      <c r="J56" s="10" t="str">
        <f aca="false">IF(45&lt;=MIN($B$3,$B$6),MATCH(45,'Soru Havuzu'!$L$2:$L$1001,0),"")</f>
        <v/>
      </c>
    </row>
    <row r="57" customFormat="false" ht="15" hidden="false" customHeight="false" outlineLevel="0" collapsed="false">
      <c r="A57" s="5" t="str">
        <f aca="false">IF($J57="","",46)</f>
        <v/>
      </c>
      <c r="B57" s="11" t="str">
        <f aca="false">IF($J57="","",INDEX('Soru Havuzu'!$D$2:$D$1001,$J57))</f>
        <v/>
      </c>
      <c r="C57" s="12" t="str">
        <f aca="false">IF($J57="","",INDEX('Soru Havuzu'!$E$2:$E$1001,$J57))</f>
        <v/>
      </c>
      <c r="D57" s="12" t="str">
        <f aca="false">IF($J57="","",INDEX('Soru Havuzu'!$F$2:$F$1001,$J57))</f>
        <v/>
      </c>
      <c r="E57" s="12" t="str">
        <f aca="false">IF($J57="","",INDEX('Soru Havuzu'!$G$2:$G$1001,$J57))</f>
        <v/>
      </c>
      <c r="F57" s="12" t="str">
        <f aca="false">IF($J57="","",INDEX('Soru Havuzu'!$H$2:$H$1001,$J57))</f>
        <v/>
      </c>
      <c r="G57" s="12" t="str">
        <f aca="false">IF($J57="","",INDEX('Soru Havuzu'!$B$2:$B$1001,$J57))</f>
        <v/>
      </c>
      <c r="H57" s="12" t="str">
        <f aca="false">IF($J57="","",INDEX('Soru Havuzu'!$C$2:$C$1001,$J57))</f>
        <v/>
      </c>
      <c r="J57" s="10" t="str">
        <f aca="false">IF(46&lt;=MIN($B$3,$B$6),MATCH(46,'Soru Havuzu'!$L$2:$L$1001,0),"")</f>
        <v/>
      </c>
    </row>
    <row r="58" customFormat="false" ht="15" hidden="false" customHeight="false" outlineLevel="0" collapsed="false">
      <c r="A58" s="5" t="str">
        <f aca="false">IF($J58="","",47)</f>
        <v/>
      </c>
      <c r="B58" s="11" t="str">
        <f aca="false">IF($J58="","",INDEX('Soru Havuzu'!$D$2:$D$1001,$J58))</f>
        <v/>
      </c>
      <c r="C58" s="12" t="str">
        <f aca="false">IF($J58="","",INDEX('Soru Havuzu'!$E$2:$E$1001,$J58))</f>
        <v/>
      </c>
      <c r="D58" s="12" t="str">
        <f aca="false">IF($J58="","",INDEX('Soru Havuzu'!$F$2:$F$1001,$J58))</f>
        <v/>
      </c>
      <c r="E58" s="12" t="str">
        <f aca="false">IF($J58="","",INDEX('Soru Havuzu'!$G$2:$G$1001,$J58))</f>
        <v/>
      </c>
      <c r="F58" s="12" t="str">
        <f aca="false">IF($J58="","",INDEX('Soru Havuzu'!$H$2:$H$1001,$J58))</f>
        <v/>
      </c>
      <c r="G58" s="12" t="str">
        <f aca="false">IF($J58="","",INDEX('Soru Havuzu'!$B$2:$B$1001,$J58))</f>
        <v/>
      </c>
      <c r="H58" s="12" t="str">
        <f aca="false">IF($J58="","",INDEX('Soru Havuzu'!$C$2:$C$1001,$J58))</f>
        <v/>
      </c>
      <c r="J58" s="10" t="str">
        <f aca="false">IF(47&lt;=MIN($B$3,$B$6),MATCH(47,'Soru Havuzu'!$L$2:$L$1001,0),"")</f>
        <v/>
      </c>
    </row>
    <row r="59" customFormat="false" ht="15" hidden="false" customHeight="false" outlineLevel="0" collapsed="false">
      <c r="A59" s="5" t="str">
        <f aca="false">IF($J59="","",48)</f>
        <v/>
      </c>
      <c r="B59" s="11" t="str">
        <f aca="false">IF($J59="","",INDEX('Soru Havuzu'!$D$2:$D$1001,$J59))</f>
        <v/>
      </c>
      <c r="C59" s="12" t="str">
        <f aca="false">IF($J59="","",INDEX('Soru Havuzu'!$E$2:$E$1001,$J59))</f>
        <v/>
      </c>
      <c r="D59" s="12" t="str">
        <f aca="false">IF($J59="","",INDEX('Soru Havuzu'!$F$2:$F$1001,$J59))</f>
        <v/>
      </c>
      <c r="E59" s="12" t="str">
        <f aca="false">IF($J59="","",INDEX('Soru Havuzu'!$G$2:$G$1001,$J59))</f>
        <v/>
      </c>
      <c r="F59" s="12" t="str">
        <f aca="false">IF($J59="","",INDEX('Soru Havuzu'!$H$2:$H$1001,$J59))</f>
        <v/>
      </c>
      <c r="G59" s="12" t="str">
        <f aca="false">IF($J59="","",INDEX('Soru Havuzu'!$B$2:$B$1001,$J59))</f>
        <v/>
      </c>
      <c r="H59" s="12" t="str">
        <f aca="false">IF($J59="","",INDEX('Soru Havuzu'!$C$2:$C$1001,$J59))</f>
        <v/>
      </c>
      <c r="J59" s="10" t="str">
        <f aca="false">IF(48&lt;=MIN($B$3,$B$6),MATCH(48,'Soru Havuzu'!$L$2:$L$1001,0),"")</f>
        <v/>
      </c>
    </row>
    <row r="60" customFormat="false" ht="15" hidden="false" customHeight="false" outlineLevel="0" collapsed="false">
      <c r="A60" s="5" t="str">
        <f aca="false">IF($J60="","",49)</f>
        <v/>
      </c>
      <c r="B60" s="11" t="str">
        <f aca="false">IF($J60="","",INDEX('Soru Havuzu'!$D$2:$D$1001,$J60))</f>
        <v/>
      </c>
      <c r="C60" s="12" t="str">
        <f aca="false">IF($J60="","",INDEX('Soru Havuzu'!$E$2:$E$1001,$J60))</f>
        <v/>
      </c>
      <c r="D60" s="12" t="str">
        <f aca="false">IF($J60="","",INDEX('Soru Havuzu'!$F$2:$F$1001,$J60))</f>
        <v/>
      </c>
      <c r="E60" s="12" t="str">
        <f aca="false">IF($J60="","",INDEX('Soru Havuzu'!$G$2:$G$1001,$J60))</f>
        <v/>
      </c>
      <c r="F60" s="12" t="str">
        <f aca="false">IF($J60="","",INDEX('Soru Havuzu'!$H$2:$H$1001,$J60))</f>
        <v/>
      </c>
      <c r="G60" s="12" t="str">
        <f aca="false">IF($J60="","",INDEX('Soru Havuzu'!$B$2:$B$1001,$J60))</f>
        <v/>
      </c>
      <c r="H60" s="12" t="str">
        <f aca="false">IF($J60="","",INDEX('Soru Havuzu'!$C$2:$C$1001,$J60))</f>
        <v/>
      </c>
      <c r="J60" s="10" t="str">
        <f aca="false">IF(49&lt;=MIN($B$3,$B$6),MATCH(49,'Soru Havuzu'!$L$2:$L$1001,0),"")</f>
        <v/>
      </c>
    </row>
    <row r="61" customFormat="false" ht="15" hidden="false" customHeight="false" outlineLevel="0" collapsed="false">
      <c r="A61" s="5" t="str">
        <f aca="false">IF($J61="","",50)</f>
        <v/>
      </c>
      <c r="B61" s="11" t="str">
        <f aca="false">IF($J61="","",INDEX('Soru Havuzu'!$D$2:$D$1001,$J61))</f>
        <v/>
      </c>
      <c r="C61" s="12" t="str">
        <f aca="false">IF($J61="","",INDEX('Soru Havuzu'!$E$2:$E$1001,$J61))</f>
        <v/>
      </c>
      <c r="D61" s="12" t="str">
        <f aca="false">IF($J61="","",INDEX('Soru Havuzu'!$F$2:$F$1001,$J61))</f>
        <v/>
      </c>
      <c r="E61" s="12" t="str">
        <f aca="false">IF($J61="","",INDEX('Soru Havuzu'!$G$2:$G$1001,$J61))</f>
        <v/>
      </c>
      <c r="F61" s="12" t="str">
        <f aca="false">IF($J61="","",INDEX('Soru Havuzu'!$H$2:$H$1001,$J61))</f>
        <v/>
      </c>
      <c r="G61" s="12" t="str">
        <f aca="false">IF($J61="","",INDEX('Soru Havuzu'!$B$2:$B$1001,$J61))</f>
        <v/>
      </c>
      <c r="H61" s="12" t="str">
        <f aca="false">IF($J61="","",INDEX('Soru Havuzu'!$C$2:$C$1001,$J61))</f>
        <v/>
      </c>
      <c r="J61" s="10" t="str">
        <f aca="false">IF(50&lt;=MIN($B$3,$B$6),MATCH(50,'Soru Havuzu'!$L$2:$L$1001,0),"")</f>
        <v/>
      </c>
    </row>
    <row r="62" customFormat="false" ht="15" hidden="false" customHeight="false" outlineLevel="0" collapsed="false">
      <c r="A62" s="5" t="str">
        <f aca="false">IF($J62="","",51)</f>
        <v/>
      </c>
      <c r="B62" s="11" t="str">
        <f aca="false">IF($J62="","",INDEX('Soru Havuzu'!$D$2:$D$1001,$J62))</f>
        <v/>
      </c>
      <c r="C62" s="12" t="str">
        <f aca="false">IF($J62="","",INDEX('Soru Havuzu'!$E$2:$E$1001,$J62))</f>
        <v/>
      </c>
      <c r="D62" s="12" t="str">
        <f aca="false">IF($J62="","",INDEX('Soru Havuzu'!$F$2:$F$1001,$J62))</f>
        <v/>
      </c>
      <c r="E62" s="12" t="str">
        <f aca="false">IF($J62="","",INDEX('Soru Havuzu'!$G$2:$G$1001,$J62))</f>
        <v/>
      </c>
      <c r="F62" s="12" t="str">
        <f aca="false">IF($J62="","",INDEX('Soru Havuzu'!$H$2:$H$1001,$J62))</f>
        <v/>
      </c>
      <c r="G62" s="12" t="str">
        <f aca="false">IF($J62="","",INDEX('Soru Havuzu'!$B$2:$B$1001,$J62))</f>
        <v/>
      </c>
      <c r="H62" s="12" t="str">
        <f aca="false">IF($J62="","",INDEX('Soru Havuzu'!$C$2:$C$1001,$J62))</f>
        <v/>
      </c>
      <c r="J62" s="10" t="str">
        <f aca="false">IF(51&lt;=MIN($B$3,$B$6),MATCH(51,'Soru Havuzu'!$L$2:$L$1001,0),"")</f>
        <v/>
      </c>
    </row>
    <row r="63" customFormat="false" ht="15" hidden="false" customHeight="false" outlineLevel="0" collapsed="false">
      <c r="A63" s="5" t="str">
        <f aca="false">IF($J63="","",52)</f>
        <v/>
      </c>
      <c r="B63" s="11" t="str">
        <f aca="false">IF($J63="","",INDEX('Soru Havuzu'!$D$2:$D$1001,$J63))</f>
        <v/>
      </c>
      <c r="C63" s="12" t="str">
        <f aca="false">IF($J63="","",INDEX('Soru Havuzu'!$E$2:$E$1001,$J63))</f>
        <v/>
      </c>
      <c r="D63" s="12" t="str">
        <f aca="false">IF($J63="","",INDEX('Soru Havuzu'!$F$2:$F$1001,$J63))</f>
        <v/>
      </c>
      <c r="E63" s="12" t="str">
        <f aca="false">IF($J63="","",INDEX('Soru Havuzu'!$G$2:$G$1001,$J63))</f>
        <v/>
      </c>
      <c r="F63" s="12" t="str">
        <f aca="false">IF($J63="","",INDEX('Soru Havuzu'!$H$2:$H$1001,$J63))</f>
        <v/>
      </c>
      <c r="G63" s="12" t="str">
        <f aca="false">IF($J63="","",INDEX('Soru Havuzu'!$B$2:$B$1001,$J63))</f>
        <v/>
      </c>
      <c r="H63" s="12" t="str">
        <f aca="false">IF($J63="","",INDEX('Soru Havuzu'!$C$2:$C$1001,$J63))</f>
        <v/>
      </c>
      <c r="J63" s="10" t="str">
        <f aca="false">IF(52&lt;=MIN($B$3,$B$6),MATCH(52,'Soru Havuzu'!$L$2:$L$1001,0),"")</f>
        <v/>
      </c>
    </row>
    <row r="64" customFormat="false" ht="15" hidden="false" customHeight="false" outlineLevel="0" collapsed="false">
      <c r="A64" s="5" t="str">
        <f aca="false">IF($J64="","",53)</f>
        <v/>
      </c>
      <c r="B64" s="11" t="str">
        <f aca="false">IF($J64="","",INDEX('Soru Havuzu'!$D$2:$D$1001,$J64))</f>
        <v/>
      </c>
      <c r="C64" s="12" t="str">
        <f aca="false">IF($J64="","",INDEX('Soru Havuzu'!$E$2:$E$1001,$J64))</f>
        <v/>
      </c>
      <c r="D64" s="12" t="str">
        <f aca="false">IF($J64="","",INDEX('Soru Havuzu'!$F$2:$F$1001,$J64))</f>
        <v/>
      </c>
      <c r="E64" s="12" t="str">
        <f aca="false">IF($J64="","",INDEX('Soru Havuzu'!$G$2:$G$1001,$J64))</f>
        <v/>
      </c>
      <c r="F64" s="12" t="str">
        <f aca="false">IF($J64="","",INDEX('Soru Havuzu'!$H$2:$H$1001,$J64))</f>
        <v/>
      </c>
      <c r="G64" s="12" t="str">
        <f aca="false">IF($J64="","",INDEX('Soru Havuzu'!$B$2:$B$1001,$J64))</f>
        <v/>
      </c>
      <c r="H64" s="12" t="str">
        <f aca="false">IF($J64="","",INDEX('Soru Havuzu'!$C$2:$C$1001,$J64))</f>
        <v/>
      </c>
      <c r="J64" s="10" t="str">
        <f aca="false">IF(53&lt;=MIN($B$3,$B$6),MATCH(53,'Soru Havuzu'!$L$2:$L$1001,0),"")</f>
        <v/>
      </c>
    </row>
    <row r="65" customFormat="false" ht="15" hidden="false" customHeight="false" outlineLevel="0" collapsed="false">
      <c r="A65" s="5" t="str">
        <f aca="false">IF($J65="","",54)</f>
        <v/>
      </c>
      <c r="B65" s="11" t="str">
        <f aca="false">IF($J65="","",INDEX('Soru Havuzu'!$D$2:$D$1001,$J65))</f>
        <v/>
      </c>
      <c r="C65" s="12" t="str">
        <f aca="false">IF($J65="","",INDEX('Soru Havuzu'!$E$2:$E$1001,$J65))</f>
        <v/>
      </c>
      <c r="D65" s="12" t="str">
        <f aca="false">IF($J65="","",INDEX('Soru Havuzu'!$F$2:$F$1001,$J65))</f>
        <v/>
      </c>
      <c r="E65" s="12" t="str">
        <f aca="false">IF($J65="","",INDEX('Soru Havuzu'!$G$2:$G$1001,$J65))</f>
        <v/>
      </c>
      <c r="F65" s="12" t="str">
        <f aca="false">IF($J65="","",INDEX('Soru Havuzu'!$H$2:$H$1001,$J65))</f>
        <v/>
      </c>
      <c r="G65" s="12" t="str">
        <f aca="false">IF($J65="","",INDEX('Soru Havuzu'!$B$2:$B$1001,$J65))</f>
        <v/>
      </c>
      <c r="H65" s="12" t="str">
        <f aca="false">IF($J65="","",INDEX('Soru Havuzu'!$C$2:$C$1001,$J65))</f>
        <v/>
      </c>
      <c r="J65" s="10" t="str">
        <f aca="false">IF(54&lt;=MIN($B$3,$B$6),MATCH(54,'Soru Havuzu'!$L$2:$L$1001,0),"")</f>
        <v/>
      </c>
    </row>
    <row r="66" customFormat="false" ht="15" hidden="false" customHeight="false" outlineLevel="0" collapsed="false">
      <c r="A66" s="5" t="str">
        <f aca="false">IF($J66="","",55)</f>
        <v/>
      </c>
      <c r="B66" s="11" t="str">
        <f aca="false">IF($J66="","",INDEX('Soru Havuzu'!$D$2:$D$1001,$J66))</f>
        <v/>
      </c>
      <c r="C66" s="12" t="str">
        <f aca="false">IF($J66="","",INDEX('Soru Havuzu'!$E$2:$E$1001,$J66))</f>
        <v/>
      </c>
      <c r="D66" s="12" t="str">
        <f aca="false">IF($J66="","",INDEX('Soru Havuzu'!$F$2:$F$1001,$J66))</f>
        <v/>
      </c>
      <c r="E66" s="12" t="str">
        <f aca="false">IF($J66="","",INDEX('Soru Havuzu'!$G$2:$G$1001,$J66))</f>
        <v/>
      </c>
      <c r="F66" s="12" t="str">
        <f aca="false">IF($J66="","",INDEX('Soru Havuzu'!$H$2:$H$1001,$J66))</f>
        <v/>
      </c>
      <c r="G66" s="12" t="str">
        <f aca="false">IF($J66="","",INDEX('Soru Havuzu'!$B$2:$B$1001,$J66))</f>
        <v/>
      </c>
      <c r="H66" s="12" t="str">
        <f aca="false">IF($J66="","",INDEX('Soru Havuzu'!$C$2:$C$1001,$J66))</f>
        <v/>
      </c>
      <c r="J66" s="10" t="str">
        <f aca="false">IF(55&lt;=MIN($B$3,$B$6),MATCH(55,'Soru Havuzu'!$L$2:$L$1001,0),"")</f>
        <v/>
      </c>
    </row>
    <row r="67" customFormat="false" ht="15" hidden="false" customHeight="false" outlineLevel="0" collapsed="false">
      <c r="A67" s="5" t="str">
        <f aca="false">IF($J67="","",56)</f>
        <v/>
      </c>
      <c r="B67" s="11" t="str">
        <f aca="false">IF($J67="","",INDEX('Soru Havuzu'!$D$2:$D$1001,$J67))</f>
        <v/>
      </c>
      <c r="C67" s="12" t="str">
        <f aca="false">IF($J67="","",INDEX('Soru Havuzu'!$E$2:$E$1001,$J67))</f>
        <v/>
      </c>
      <c r="D67" s="12" t="str">
        <f aca="false">IF($J67="","",INDEX('Soru Havuzu'!$F$2:$F$1001,$J67))</f>
        <v/>
      </c>
      <c r="E67" s="12" t="str">
        <f aca="false">IF($J67="","",INDEX('Soru Havuzu'!$G$2:$G$1001,$J67))</f>
        <v/>
      </c>
      <c r="F67" s="12" t="str">
        <f aca="false">IF($J67="","",INDEX('Soru Havuzu'!$H$2:$H$1001,$J67))</f>
        <v/>
      </c>
      <c r="G67" s="12" t="str">
        <f aca="false">IF($J67="","",INDEX('Soru Havuzu'!$B$2:$B$1001,$J67))</f>
        <v/>
      </c>
      <c r="H67" s="12" t="str">
        <f aca="false">IF($J67="","",INDEX('Soru Havuzu'!$C$2:$C$1001,$J67))</f>
        <v/>
      </c>
      <c r="J67" s="10" t="str">
        <f aca="false">IF(56&lt;=MIN($B$3,$B$6),MATCH(56,'Soru Havuzu'!$L$2:$L$1001,0),"")</f>
        <v/>
      </c>
    </row>
    <row r="68" customFormat="false" ht="15" hidden="false" customHeight="false" outlineLevel="0" collapsed="false">
      <c r="A68" s="5" t="str">
        <f aca="false">IF($J68="","",57)</f>
        <v/>
      </c>
      <c r="B68" s="11" t="str">
        <f aca="false">IF($J68="","",INDEX('Soru Havuzu'!$D$2:$D$1001,$J68))</f>
        <v/>
      </c>
      <c r="C68" s="12" t="str">
        <f aca="false">IF($J68="","",INDEX('Soru Havuzu'!$E$2:$E$1001,$J68))</f>
        <v/>
      </c>
      <c r="D68" s="12" t="str">
        <f aca="false">IF($J68="","",INDEX('Soru Havuzu'!$F$2:$F$1001,$J68))</f>
        <v/>
      </c>
      <c r="E68" s="12" t="str">
        <f aca="false">IF($J68="","",INDEX('Soru Havuzu'!$G$2:$G$1001,$J68))</f>
        <v/>
      </c>
      <c r="F68" s="12" t="str">
        <f aca="false">IF($J68="","",INDEX('Soru Havuzu'!$H$2:$H$1001,$J68))</f>
        <v/>
      </c>
      <c r="G68" s="12" t="str">
        <f aca="false">IF($J68="","",INDEX('Soru Havuzu'!$B$2:$B$1001,$J68))</f>
        <v/>
      </c>
      <c r="H68" s="12" t="str">
        <f aca="false">IF($J68="","",INDEX('Soru Havuzu'!$C$2:$C$1001,$J68))</f>
        <v/>
      </c>
      <c r="J68" s="10" t="str">
        <f aca="false">IF(57&lt;=MIN($B$3,$B$6),MATCH(57,'Soru Havuzu'!$L$2:$L$1001,0),"")</f>
        <v/>
      </c>
    </row>
    <row r="69" customFormat="false" ht="15" hidden="false" customHeight="false" outlineLevel="0" collapsed="false">
      <c r="A69" s="5" t="str">
        <f aca="false">IF($J69="","",58)</f>
        <v/>
      </c>
      <c r="B69" s="11" t="str">
        <f aca="false">IF($J69="","",INDEX('Soru Havuzu'!$D$2:$D$1001,$J69))</f>
        <v/>
      </c>
      <c r="C69" s="12" t="str">
        <f aca="false">IF($J69="","",INDEX('Soru Havuzu'!$E$2:$E$1001,$J69))</f>
        <v/>
      </c>
      <c r="D69" s="12" t="str">
        <f aca="false">IF($J69="","",INDEX('Soru Havuzu'!$F$2:$F$1001,$J69))</f>
        <v/>
      </c>
      <c r="E69" s="12" t="str">
        <f aca="false">IF($J69="","",INDEX('Soru Havuzu'!$G$2:$G$1001,$J69))</f>
        <v/>
      </c>
      <c r="F69" s="12" t="str">
        <f aca="false">IF($J69="","",INDEX('Soru Havuzu'!$H$2:$H$1001,$J69))</f>
        <v/>
      </c>
      <c r="G69" s="12" t="str">
        <f aca="false">IF($J69="","",INDEX('Soru Havuzu'!$B$2:$B$1001,$J69))</f>
        <v/>
      </c>
      <c r="H69" s="12" t="str">
        <f aca="false">IF($J69="","",INDEX('Soru Havuzu'!$C$2:$C$1001,$J69))</f>
        <v/>
      </c>
      <c r="J69" s="10" t="str">
        <f aca="false">IF(58&lt;=MIN($B$3,$B$6),MATCH(58,'Soru Havuzu'!$L$2:$L$1001,0),"")</f>
        <v/>
      </c>
    </row>
    <row r="70" customFormat="false" ht="15" hidden="false" customHeight="false" outlineLevel="0" collapsed="false">
      <c r="A70" s="5" t="str">
        <f aca="false">IF($J70="","",59)</f>
        <v/>
      </c>
      <c r="B70" s="11" t="str">
        <f aca="false">IF($J70="","",INDEX('Soru Havuzu'!$D$2:$D$1001,$J70))</f>
        <v/>
      </c>
      <c r="C70" s="12" t="str">
        <f aca="false">IF($J70="","",INDEX('Soru Havuzu'!$E$2:$E$1001,$J70))</f>
        <v/>
      </c>
      <c r="D70" s="12" t="str">
        <f aca="false">IF($J70="","",INDEX('Soru Havuzu'!$F$2:$F$1001,$J70))</f>
        <v/>
      </c>
      <c r="E70" s="12" t="str">
        <f aca="false">IF($J70="","",INDEX('Soru Havuzu'!$G$2:$G$1001,$J70))</f>
        <v/>
      </c>
      <c r="F70" s="12" t="str">
        <f aca="false">IF($J70="","",INDEX('Soru Havuzu'!$H$2:$H$1001,$J70))</f>
        <v/>
      </c>
      <c r="G70" s="12" t="str">
        <f aca="false">IF($J70="","",INDEX('Soru Havuzu'!$B$2:$B$1001,$J70))</f>
        <v/>
      </c>
      <c r="H70" s="12" t="str">
        <f aca="false">IF($J70="","",INDEX('Soru Havuzu'!$C$2:$C$1001,$J70))</f>
        <v/>
      </c>
      <c r="J70" s="10" t="str">
        <f aca="false">IF(59&lt;=MIN($B$3,$B$6),MATCH(59,'Soru Havuzu'!$L$2:$L$1001,0),"")</f>
        <v/>
      </c>
    </row>
    <row r="71" customFormat="false" ht="15" hidden="false" customHeight="false" outlineLevel="0" collapsed="false">
      <c r="A71" s="5" t="str">
        <f aca="false">IF($J71="","",60)</f>
        <v/>
      </c>
      <c r="B71" s="11" t="str">
        <f aca="false">IF($J71="","",INDEX('Soru Havuzu'!$D$2:$D$1001,$J71))</f>
        <v/>
      </c>
      <c r="C71" s="12" t="str">
        <f aca="false">IF($J71="","",INDEX('Soru Havuzu'!$E$2:$E$1001,$J71))</f>
        <v/>
      </c>
      <c r="D71" s="12" t="str">
        <f aca="false">IF($J71="","",INDEX('Soru Havuzu'!$F$2:$F$1001,$J71))</f>
        <v/>
      </c>
      <c r="E71" s="12" t="str">
        <f aca="false">IF($J71="","",INDEX('Soru Havuzu'!$G$2:$G$1001,$J71))</f>
        <v/>
      </c>
      <c r="F71" s="12" t="str">
        <f aca="false">IF($J71="","",INDEX('Soru Havuzu'!$H$2:$H$1001,$J71))</f>
        <v/>
      </c>
      <c r="G71" s="12" t="str">
        <f aca="false">IF($J71="","",INDEX('Soru Havuzu'!$B$2:$B$1001,$J71))</f>
        <v/>
      </c>
      <c r="H71" s="12" t="str">
        <f aca="false">IF($J71="","",INDEX('Soru Havuzu'!$C$2:$C$1001,$J71))</f>
        <v/>
      </c>
      <c r="J71" s="10" t="str">
        <f aca="false">IF(60&lt;=MIN($B$3,$B$6),MATCH(60,'Soru Havuzu'!$L$2:$L$1001,0),"")</f>
        <v/>
      </c>
    </row>
    <row r="72" customFormat="false" ht="15" hidden="false" customHeight="false" outlineLevel="0" collapsed="false">
      <c r="A72" s="5" t="str">
        <f aca="false">IF($J72="","",61)</f>
        <v/>
      </c>
      <c r="B72" s="11" t="str">
        <f aca="false">IF($J72="","",INDEX('Soru Havuzu'!$D$2:$D$1001,$J72))</f>
        <v/>
      </c>
      <c r="C72" s="12" t="str">
        <f aca="false">IF($J72="","",INDEX('Soru Havuzu'!$E$2:$E$1001,$J72))</f>
        <v/>
      </c>
      <c r="D72" s="12" t="str">
        <f aca="false">IF($J72="","",INDEX('Soru Havuzu'!$F$2:$F$1001,$J72))</f>
        <v/>
      </c>
      <c r="E72" s="12" t="str">
        <f aca="false">IF($J72="","",INDEX('Soru Havuzu'!$G$2:$G$1001,$J72))</f>
        <v/>
      </c>
      <c r="F72" s="12" t="str">
        <f aca="false">IF($J72="","",INDEX('Soru Havuzu'!$H$2:$H$1001,$J72))</f>
        <v/>
      </c>
      <c r="G72" s="12" t="str">
        <f aca="false">IF($J72="","",INDEX('Soru Havuzu'!$B$2:$B$1001,$J72))</f>
        <v/>
      </c>
      <c r="H72" s="12" t="str">
        <f aca="false">IF($J72="","",INDEX('Soru Havuzu'!$C$2:$C$1001,$J72))</f>
        <v/>
      </c>
      <c r="J72" s="10" t="str">
        <f aca="false">IF(61&lt;=MIN($B$3,$B$6),MATCH(61,'Soru Havuzu'!$L$2:$L$1001,0),"")</f>
        <v/>
      </c>
    </row>
    <row r="73" customFormat="false" ht="15" hidden="false" customHeight="false" outlineLevel="0" collapsed="false">
      <c r="A73" s="5" t="str">
        <f aca="false">IF($J73="","",62)</f>
        <v/>
      </c>
      <c r="B73" s="11" t="str">
        <f aca="false">IF($J73="","",INDEX('Soru Havuzu'!$D$2:$D$1001,$J73))</f>
        <v/>
      </c>
      <c r="C73" s="12" t="str">
        <f aca="false">IF($J73="","",INDEX('Soru Havuzu'!$E$2:$E$1001,$J73))</f>
        <v/>
      </c>
      <c r="D73" s="12" t="str">
        <f aca="false">IF($J73="","",INDEX('Soru Havuzu'!$F$2:$F$1001,$J73))</f>
        <v/>
      </c>
      <c r="E73" s="12" t="str">
        <f aca="false">IF($J73="","",INDEX('Soru Havuzu'!$G$2:$G$1001,$J73))</f>
        <v/>
      </c>
      <c r="F73" s="12" t="str">
        <f aca="false">IF($J73="","",INDEX('Soru Havuzu'!$H$2:$H$1001,$J73))</f>
        <v/>
      </c>
      <c r="G73" s="12" t="str">
        <f aca="false">IF($J73="","",INDEX('Soru Havuzu'!$B$2:$B$1001,$J73))</f>
        <v/>
      </c>
      <c r="H73" s="12" t="str">
        <f aca="false">IF($J73="","",INDEX('Soru Havuzu'!$C$2:$C$1001,$J73))</f>
        <v/>
      </c>
      <c r="J73" s="10" t="str">
        <f aca="false">IF(62&lt;=MIN($B$3,$B$6),MATCH(62,'Soru Havuzu'!$L$2:$L$1001,0),"")</f>
        <v/>
      </c>
    </row>
    <row r="74" customFormat="false" ht="15" hidden="false" customHeight="false" outlineLevel="0" collapsed="false">
      <c r="A74" s="5" t="str">
        <f aca="false">IF($J74="","",63)</f>
        <v/>
      </c>
      <c r="B74" s="11" t="str">
        <f aca="false">IF($J74="","",INDEX('Soru Havuzu'!$D$2:$D$1001,$J74))</f>
        <v/>
      </c>
      <c r="C74" s="12" t="str">
        <f aca="false">IF($J74="","",INDEX('Soru Havuzu'!$E$2:$E$1001,$J74))</f>
        <v/>
      </c>
      <c r="D74" s="12" t="str">
        <f aca="false">IF($J74="","",INDEX('Soru Havuzu'!$F$2:$F$1001,$J74))</f>
        <v/>
      </c>
      <c r="E74" s="12" t="str">
        <f aca="false">IF($J74="","",INDEX('Soru Havuzu'!$G$2:$G$1001,$J74))</f>
        <v/>
      </c>
      <c r="F74" s="12" t="str">
        <f aca="false">IF($J74="","",INDEX('Soru Havuzu'!$H$2:$H$1001,$J74))</f>
        <v/>
      </c>
      <c r="G74" s="12" t="str">
        <f aca="false">IF($J74="","",INDEX('Soru Havuzu'!$B$2:$B$1001,$J74))</f>
        <v/>
      </c>
      <c r="H74" s="12" t="str">
        <f aca="false">IF($J74="","",INDEX('Soru Havuzu'!$C$2:$C$1001,$J74))</f>
        <v/>
      </c>
      <c r="J74" s="10" t="str">
        <f aca="false">IF(63&lt;=MIN($B$3,$B$6),MATCH(63,'Soru Havuzu'!$L$2:$L$1001,0),"")</f>
        <v/>
      </c>
    </row>
    <row r="75" customFormat="false" ht="15" hidden="false" customHeight="false" outlineLevel="0" collapsed="false">
      <c r="A75" s="5" t="str">
        <f aca="false">IF($J75="","",64)</f>
        <v/>
      </c>
      <c r="B75" s="11" t="str">
        <f aca="false">IF($J75="","",INDEX('Soru Havuzu'!$D$2:$D$1001,$J75))</f>
        <v/>
      </c>
      <c r="C75" s="12" t="str">
        <f aca="false">IF($J75="","",INDEX('Soru Havuzu'!$E$2:$E$1001,$J75))</f>
        <v/>
      </c>
      <c r="D75" s="12" t="str">
        <f aca="false">IF($J75="","",INDEX('Soru Havuzu'!$F$2:$F$1001,$J75))</f>
        <v/>
      </c>
      <c r="E75" s="12" t="str">
        <f aca="false">IF($J75="","",INDEX('Soru Havuzu'!$G$2:$G$1001,$J75))</f>
        <v/>
      </c>
      <c r="F75" s="12" t="str">
        <f aca="false">IF($J75="","",INDEX('Soru Havuzu'!$H$2:$H$1001,$J75))</f>
        <v/>
      </c>
      <c r="G75" s="12" t="str">
        <f aca="false">IF($J75="","",INDEX('Soru Havuzu'!$B$2:$B$1001,$J75))</f>
        <v/>
      </c>
      <c r="H75" s="12" t="str">
        <f aca="false">IF($J75="","",INDEX('Soru Havuzu'!$C$2:$C$1001,$J75))</f>
        <v/>
      </c>
      <c r="J75" s="10" t="str">
        <f aca="false">IF(64&lt;=MIN($B$3,$B$6),MATCH(64,'Soru Havuzu'!$L$2:$L$1001,0),"")</f>
        <v/>
      </c>
    </row>
    <row r="76" customFormat="false" ht="15" hidden="false" customHeight="false" outlineLevel="0" collapsed="false">
      <c r="A76" s="5" t="str">
        <f aca="false">IF($J76="","",65)</f>
        <v/>
      </c>
      <c r="B76" s="11" t="str">
        <f aca="false">IF($J76="","",INDEX('Soru Havuzu'!$D$2:$D$1001,$J76))</f>
        <v/>
      </c>
      <c r="C76" s="12" t="str">
        <f aca="false">IF($J76="","",INDEX('Soru Havuzu'!$E$2:$E$1001,$J76))</f>
        <v/>
      </c>
      <c r="D76" s="12" t="str">
        <f aca="false">IF($J76="","",INDEX('Soru Havuzu'!$F$2:$F$1001,$J76))</f>
        <v/>
      </c>
      <c r="E76" s="12" t="str">
        <f aca="false">IF($J76="","",INDEX('Soru Havuzu'!$G$2:$G$1001,$J76))</f>
        <v/>
      </c>
      <c r="F76" s="12" t="str">
        <f aca="false">IF($J76="","",INDEX('Soru Havuzu'!$H$2:$H$1001,$J76))</f>
        <v/>
      </c>
      <c r="G76" s="12" t="str">
        <f aca="false">IF($J76="","",INDEX('Soru Havuzu'!$B$2:$B$1001,$J76))</f>
        <v/>
      </c>
      <c r="H76" s="12" t="str">
        <f aca="false">IF($J76="","",INDEX('Soru Havuzu'!$C$2:$C$1001,$J76))</f>
        <v/>
      </c>
      <c r="J76" s="10" t="str">
        <f aca="false">IF(65&lt;=MIN($B$3,$B$6),MATCH(65,'Soru Havuzu'!$L$2:$L$1001,0),"")</f>
        <v/>
      </c>
    </row>
    <row r="77" customFormat="false" ht="15" hidden="false" customHeight="false" outlineLevel="0" collapsed="false">
      <c r="A77" s="5" t="str">
        <f aca="false">IF($J77="","",66)</f>
        <v/>
      </c>
      <c r="B77" s="11" t="str">
        <f aca="false">IF($J77="","",INDEX('Soru Havuzu'!$D$2:$D$1001,$J77))</f>
        <v/>
      </c>
      <c r="C77" s="12" t="str">
        <f aca="false">IF($J77="","",INDEX('Soru Havuzu'!$E$2:$E$1001,$J77))</f>
        <v/>
      </c>
      <c r="D77" s="12" t="str">
        <f aca="false">IF($J77="","",INDEX('Soru Havuzu'!$F$2:$F$1001,$J77))</f>
        <v/>
      </c>
      <c r="E77" s="12" t="str">
        <f aca="false">IF($J77="","",INDEX('Soru Havuzu'!$G$2:$G$1001,$J77))</f>
        <v/>
      </c>
      <c r="F77" s="12" t="str">
        <f aca="false">IF($J77="","",INDEX('Soru Havuzu'!$H$2:$H$1001,$J77))</f>
        <v/>
      </c>
      <c r="G77" s="12" t="str">
        <f aca="false">IF($J77="","",INDEX('Soru Havuzu'!$B$2:$B$1001,$J77))</f>
        <v/>
      </c>
      <c r="H77" s="12" t="str">
        <f aca="false">IF($J77="","",INDEX('Soru Havuzu'!$C$2:$C$1001,$J77))</f>
        <v/>
      </c>
      <c r="J77" s="10" t="str">
        <f aca="false">IF(66&lt;=MIN($B$3,$B$6),MATCH(66,'Soru Havuzu'!$L$2:$L$1001,0),"")</f>
        <v/>
      </c>
    </row>
    <row r="78" customFormat="false" ht="15" hidden="false" customHeight="false" outlineLevel="0" collapsed="false">
      <c r="A78" s="5" t="str">
        <f aca="false">IF($J78="","",67)</f>
        <v/>
      </c>
      <c r="B78" s="11" t="str">
        <f aca="false">IF($J78="","",INDEX('Soru Havuzu'!$D$2:$D$1001,$J78))</f>
        <v/>
      </c>
      <c r="C78" s="12" t="str">
        <f aca="false">IF($J78="","",INDEX('Soru Havuzu'!$E$2:$E$1001,$J78))</f>
        <v/>
      </c>
      <c r="D78" s="12" t="str">
        <f aca="false">IF($J78="","",INDEX('Soru Havuzu'!$F$2:$F$1001,$J78))</f>
        <v/>
      </c>
      <c r="E78" s="12" t="str">
        <f aca="false">IF($J78="","",INDEX('Soru Havuzu'!$G$2:$G$1001,$J78))</f>
        <v/>
      </c>
      <c r="F78" s="12" t="str">
        <f aca="false">IF($J78="","",INDEX('Soru Havuzu'!$H$2:$H$1001,$J78))</f>
        <v/>
      </c>
      <c r="G78" s="12" t="str">
        <f aca="false">IF($J78="","",INDEX('Soru Havuzu'!$B$2:$B$1001,$J78))</f>
        <v/>
      </c>
      <c r="H78" s="12" t="str">
        <f aca="false">IF($J78="","",INDEX('Soru Havuzu'!$C$2:$C$1001,$J78))</f>
        <v/>
      </c>
      <c r="J78" s="10" t="str">
        <f aca="false">IF(67&lt;=MIN($B$3,$B$6),MATCH(67,'Soru Havuzu'!$L$2:$L$1001,0),"")</f>
        <v/>
      </c>
    </row>
    <row r="79" customFormat="false" ht="15" hidden="false" customHeight="false" outlineLevel="0" collapsed="false">
      <c r="A79" s="5" t="str">
        <f aca="false">IF($J79="","",68)</f>
        <v/>
      </c>
      <c r="B79" s="11" t="str">
        <f aca="false">IF($J79="","",INDEX('Soru Havuzu'!$D$2:$D$1001,$J79))</f>
        <v/>
      </c>
      <c r="C79" s="12" t="str">
        <f aca="false">IF($J79="","",INDEX('Soru Havuzu'!$E$2:$E$1001,$J79))</f>
        <v/>
      </c>
      <c r="D79" s="12" t="str">
        <f aca="false">IF($J79="","",INDEX('Soru Havuzu'!$F$2:$F$1001,$J79))</f>
        <v/>
      </c>
      <c r="E79" s="12" t="str">
        <f aca="false">IF($J79="","",INDEX('Soru Havuzu'!$G$2:$G$1001,$J79))</f>
        <v/>
      </c>
      <c r="F79" s="12" t="str">
        <f aca="false">IF($J79="","",INDEX('Soru Havuzu'!$H$2:$H$1001,$J79))</f>
        <v/>
      </c>
      <c r="G79" s="12" t="str">
        <f aca="false">IF($J79="","",INDEX('Soru Havuzu'!$B$2:$B$1001,$J79))</f>
        <v/>
      </c>
      <c r="H79" s="12" t="str">
        <f aca="false">IF($J79="","",INDEX('Soru Havuzu'!$C$2:$C$1001,$J79))</f>
        <v/>
      </c>
      <c r="J79" s="10" t="str">
        <f aca="false">IF(68&lt;=MIN($B$3,$B$6),MATCH(68,'Soru Havuzu'!$L$2:$L$1001,0),"")</f>
        <v/>
      </c>
    </row>
    <row r="80" customFormat="false" ht="15" hidden="false" customHeight="false" outlineLevel="0" collapsed="false">
      <c r="A80" s="5" t="str">
        <f aca="false">IF($J80="","",69)</f>
        <v/>
      </c>
      <c r="B80" s="11" t="str">
        <f aca="false">IF($J80="","",INDEX('Soru Havuzu'!$D$2:$D$1001,$J80))</f>
        <v/>
      </c>
      <c r="C80" s="12" t="str">
        <f aca="false">IF($J80="","",INDEX('Soru Havuzu'!$E$2:$E$1001,$J80))</f>
        <v/>
      </c>
      <c r="D80" s="12" t="str">
        <f aca="false">IF($J80="","",INDEX('Soru Havuzu'!$F$2:$F$1001,$J80))</f>
        <v/>
      </c>
      <c r="E80" s="12" t="str">
        <f aca="false">IF($J80="","",INDEX('Soru Havuzu'!$G$2:$G$1001,$J80))</f>
        <v/>
      </c>
      <c r="F80" s="12" t="str">
        <f aca="false">IF($J80="","",INDEX('Soru Havuzu'!$H$2:$H$1001,$J80))</f>
        <v/>
      </c>
      <c r="G80" s="12" t="str">
        <f aca="false">IF($J80="","",INDEX('Soru Havuzu'!$B$2:$B$1001,$J80))</f>
        <v/>
      </c>
      <c r="H80" s="12" t="str">
        <f aca="false">IF($J80="","",INDEX('Soru Havuzu'!$C$2:$C$1001,$J80))</f>
        <v/>
      </c>
      <c r="J80" s="10" t="str">
        <f aca="false">IF(69&lt;=MIN($B$3,$B$6),MATCH(69,'Soru Havuzu'!$L$2:$L$1001,0),"")</f>
        <v/>
      </c>
    </row>
    <row r="81" customFormat="false" ht="15" hidden="false" customHeight="false" outlineLevel="0" collapsed="false">
      <c r="A81" s="5" t="str">
        <f aca="false">IF($J81="","",70)</f>
        <v/>
      </c>
      <c r="B81" s="11" t="str">
        <f aca="false">IF($J81="","",INDEX('Soru Havuzu'!$D$2:$D$1001,$J81))</f>
        <v/>
      </c>
      <c r="C81" s="12" t="str">
        <f aca="false">IF($J81="","",INDEX('Soru Havuzu'!$E$2:$E$1001,$J81))</f>
        <v/>
      </c>
      <c r="D81" s="12" t="str">
        <f aca="false">IF($J81="","",INDEX('Soru Havuzu'!$F$2:$F$1001,$J81))</f>
        <v/>
      </c>
      <c r="E81" s="12" t="str">
        <f aca="false">IF($J81="","",INDEX('Soru Havuzu'!$G$2:$G$1001,$J81))</f>
        <v/>
      </c>
      <c r="F81" s="12" t="str">
        <f aca="false">IF($J81="","",INDEX('Soru Havuzu'!$H$2:$H$1001,$J81))</f>
        <v/>
      </c>
      <c r="G81" s="12" t="str">
        <f aca="false">IF($J81="","",INDEX('Soru Havuzu'!$B$2:$B$1001,$J81))</f>
        <v/>
      </c>
      <c r="H81" s="12" t="str">
        <f aca="false">IF($J81="","",INDEX('Soru Havuzu'!$C$2:$C$1001,$J81))</f>
        <v/>
      </c>
      <c r="J81" s="10" t="str">
        <f aca="false">IF(70&lt;=MIN($B$3,$B$6),MATCH(70,'Soru Havuzu'!$L$2:$L$1001,0),"")</f>
        <v/>
      </c>
    </row>
    <row r="82" customFormat="false" ht="15" hidden="false" customHeight="false" outlineLevel="0" collapsed="false">
      <c r="A82" s="5" t="str">
        <f aca="false">IF($J82="","",71)</f>
        <v/>
      </c>
      <c r="B82" s="11" t="str">
        <f aca="false">IF($J82="","",INDEX('Soru Havuzu'!$D$2:$D$1001,$J82))</f>
        <v/>
      </c>
      <c r="C82" s="12" t="str">
        <f aca="false">IF($J82="","",INDEX('Soru Havuzu'!$E$2:$E$1001,$J82))</f>
        <v/>
      </c>
      <c r="D82" s="12" t="str">
        <f aca="false">IF($J82="","",INDEX('Soru Havuzu'!$F$2:$F$1001,$J82))</f>
        <v/>
      </c>
      <c r="E82" s="12" t="str">
        <f aca="false">IF($J82="","",INDEX('Soru Havuzu'!$G$2:$G$1001,$J82))</f>
        <v/>
      </c>
      <c r="F82" s="12" t="str">
        <f aca="false">IF($J82="","",INDEX('Soru Havuzu'!$H$2:$H$1001,$J82))</f>
        <v/>
      </c>
      <c r="G82" s="12" t="str">
        <f aca="false">IF($J82="","",INDEX('Soru Havuzu'!$B$2:$B$1001,$J82))</f>
        <v/>
      </c>
      <c r="H82" s="12" t="str">
        <f aca="false">IF($J82="","",INDEX('Soru Havuzu'!$C$2:$C$1001,$J82))</f>
        <v/>
      </c>
      <c r="J82" s="10" t="str">
        <f aca="false">IF(71&lt;=MIN($B$3,$B$6),MATCH(71,'Soru Havuzu'!$L$2:$L$1001,0),"")</f>
        <v/>
      </c>
    </row>
    <row r="83" customFormat="false" ht="15" hidden="false" customHeight="false" outlineLevel="0" collapsed="false">
      <c r="A83" s="5" t="str">
        <f aca="false">IF($J83="","",72)</f>
        <v/>
      </c>
      <c r="B83" s="11" t="str">
        <f aca="false">IF($J83="","",INDEX('Soru Havuzu'!$D$2:$D$1001,$J83))</f>
        <v/>
      </c>
      <c r="C83" s="12" t="str">
        <f aca="false">IF($J83="","",INDEX('Soru Havuzu'!$E$2:$E$1001,$J83))</f>
        <v/>
      </c>
      <c r="D83" s="12" t="str">
        <f aca="false">IF($J83="","",INDEX('Soru Havuzu'!$F$2:$F$1001,$J83))</f>
        <v/>
      </c>
      <c r="E83" s="12" t="str">
        <f aca="false">IF($J83="","",INDEX('Soru Havuzu'!$G$2:$G$1001,$J83))</f>
        <v/>
      </c>
      <c r="F83" s="12" t="str">
        <f aca="false">IF($J83="","",INDEX('Soru Havuzu'!$H$2:$H$1001,$J83))</f>
        <v/>
      </c>
      <c r="G83" s="12" t="str">
        <f aca="false">IF($J83="","",INDEX('Soru Havuzu'!$B$2:$B$1001,$J83))</f>
        <v/>
      </c>
      <c r="H83" s="12" t="str">
        <f aca="false">IF($J83="","",INDEX('Soru Havuzu'!$C$2:$C$1001,$J83))</f>
        <v/>
      </c>
      <c r="J83" s="10" t="str">
        <f aca="false">IF(72&lt;=MIN($B$3,$B$6),MATCH(72,'Soru Havuzu'!$L$2:$L$1001,0),"")</f>
        <v/>
      </c>
    </row>
    <row r="84" customFormat="false" ht="15" hidden="false" customHeight="false" outlineLevel="0" collapsed="false">
      <c r="A84" s="5" t="str">
        <f aca="false">IF($J84="","",73)</f>
        <v/>
      </c>
      <c r="B84" s="11" t="str">
        <f aca="false">IF($J84="","",INDEX('Soru Havuzu'!$D$2:$D$1001,$J84))</f>
        <v/>
      </c>
      <c r="C84" s="12" t="str">
        <f aca="false">IF($J84="","",INDEX('Soru Havuzu'!$E$2:$E$1001,$J84))</f>
        <v/>
      </c>
      <c r="D84" s="12" t="str">
        <f aca="false">IF($J84="","",INDEX('Soru Havuzu'!$F$2:$F$1001,$J84))</f>
        <v/>
      </c>
      <c r="E84" s="12" t="str">
        <f aca="false">IF($J84="","",INDEX('Soru Havuzu'!$G$2:$G$1001,$J84))</f>
        <v/>
      </c>
      <c r="F84" s="12" t="str">
        <f aca="false">IF($J84="","",INDEX('Soru Havuzu'!$H$2:$H$1001,$J84))</f>
        <v/>
      </c>
      <c r="G84" s="12" t="str">
        <f aca="false">IF($J84="","",INDEX('Soru Havuzu'!$B$2:$B$1001,$J84))</f>
        <v/>
      </c>
      <c r="H84" s="12" t="str">
        <f aca="false">IF($J84="","",INDEX('Soru Havuzu'!$C$2:$C$1001,$J84))</f>
        <v/>
      </c>
      <c r="J84" s="10" t="str">
        <f aca="false">IF(73&lt;=MIN($B$3,$B$6),MATCH(73,'Soru Havuzu'!$L$2:$L$1001,0),"")</f>
        <v/>
      </c>
    </row>
    <row r="85" customFormat="false" ht="15" hidden="false" customHeight="false" outlineLevel="0" collapsed="false">
      <c r="A85" s="5" t="str">
        <f aca="false">IF($J85="","",74)</f>
        <v/>
      </c>
      <c r="B85" s="11" t="str">
        <f aca="false">IF($J85="","",INDEX('Soru Havuzu'!$D$2:$D$1001,$J85))</f>
        <v/>
      </c>
      <c r="C85" s="12" t="str">
        <f aca="false">IF($J85="","",INDEX('Soru Havuzu'!$E$2:$E$1001,$J85))</f>
        <v/>
      </c>
      <c r="D85" s="12" t="str">
        <f aca="false">IF($J85="","",INDEX('Soru Havuzu'!$F$2:$F$1001,$J85))</f>
        <v/>
      </c>
      <c r="E85" s="12" t="str">
        <f aca="false">IF($J85="","",INDEX('Soru Havuzu'!$G$2:$G$1001,$J85))</f>
        <v/>
      </c>
      <c r="F85" s="12" t="str">
        <f aca="false">IF($J85="","",INDEX('Soru Havuzu'!$H$2:$H$1001,$J85))</f>
        <v/>
      </c>
      <c r="G85" s="12" t="str">
        <f aca="false">IF($J85="","",INDEX('Soru Havuzu'!$B$2:$B$1001,$J85))</f>
        <v/>
      </c>
      <c r="H85" s="12" t="str">
        <f aca="false">IF($J85="","",INDEX('Soru Havuzu'!$C$2:$C$1001,$J85))</f>
        <v/>
      </c>
      <c r="J85" s="10" t="str">
        <f aca="false">IF(74&lt;=MIN($B$3,$B$6),MATCH(74,'Soru Havuzu'!$L$2:$L$1001,0),"")</f>
        <v/>
      </c>
    </row>
    <row r="86" customFormat="false" ht="15" hidden="false" customHeight="false" outlineLevel="0" collapsed="false">
      <c r="A86" s="5" t="str">
        <f aca="false">IF($J86="","",75)</f>
        <v/>
      </c>
      <c r="B86" s="11" t="str">
        <f aca="false">IF($J86="","",INDEX('Soru Havuzu'!$D$2:$D$1001,$J86))</f>
        <v/>
      </c>
      <c r="C86" s="12" t="str">
        <f aca="false">IF($J86="","",INDEX('Soru Havuzu'!$E$2:$E$1001,$J86))</f>
        <v/>
      </c>
      <c r="D86" s="12" t="str">
        <f aca="false">IF($J86="","",INDEX('Soru Havuzu'!$F$2:$F$1001,$J86))</f>
        <v/>
      </c>
      <c r="E86" s="12" t="str">
        <f aca="false">IF($J86="","",INDEX('Soru Havuzu'!$G$2:$G$1001,$J86))</f>
        <v/>
      </c>
      <c r="F86" s="12" t="str">
        <f aca="false">IF($J86="","",INDEX('Soru Havuzu'!$H$2:$H$1001,$J86))</f>
        <v/>
      </c>
      <c r="G86" s="12" t="str">
        <f aca="false">IF($J86="","",INDEX('Soru Havuzu'!$B$2:$B$1001,$J86))</f>
        <v/>
      </c>
      <c r="H86" s="12" t="str">
        <f aca="false">IF($J86="","",INDEX('Soru Havuzu'!$C$2:$C$1001,$J86))</f>
        <v/>
      </c>
      <c r="J86" s="10" t="str">
        <f aca="false">IF(75&lt;=MIN($B$3,$B$6),MATCH(75,'Soru Havuzu'!$L$2:$L$1001,0),"")</f>
        <v/>
      </c>
    </row>
    <row r="87" customFormat="false" ht="15" hidden="false" customHeight="false" outlineLevel="0" collapsed="false">
      <c r="A87" s="5" t="str">
        <f aca="false">IF($J87="","",76)</f>
        <v/>
      </c>
      <c r="B87" s="11" t="str">
        <f aca="false">IF($J87="","",INDEX('Soru Havuzu'!$D$2:$D$1001,$J87))</f>
        <v/>
      </c>
      <c r="C87" s="12" t="str">
        <f aca="false">IF($J87="","",INDEX('Soru Havuzu'!$E$2:$E$1001,$J87))</f>
        <v/>
      </c>
      <c r="D87" s="12" t="str">
        <f aca="false">IF($J87="","",INDEX('Soru Havuzu'!$F$2:$F$1001,$J87))</f>
        <v/>
      </c>
      <c r="E87" s="12" t="str">
        <f aca="false">IF($J87="","",INDEX('Soru Havuzu'!$G$2:$G$1001,$J87))</f>
        <v/>
      </c>
      <c r="F87" s="12" t="str">
        <f aca="false">IF($J87="","",INDEX('Soru Havuzu'!$H$2:$H$1001,$J87))</f>
        <v/>
      </c>
      <c r="G87" s="12" t="str">
        <f aca="false">IF($J87="","",INDEX('Soru Havuzu'!$B$2:$B$1001,$J87))</f>
        <v/>
      </c>
      <c r="H87" s="12" t="str">
        <f aca="false">IF($J87="","",INDEX('Soru Havuzu'!$C$2:$C$1001,$J87))</f>
        <v/>
      </c>
      <c r="J87" s="10" t="str">
        <f aca="false">IF(76&lt;=MIN($B$3,$B$6),MATCH(76,'Soru Havuzu'!$L$2:$L$1001,0),"")</f>
        <v/>
      </c>
    </row>
    <row r="88" customFormat="false" ht="15" hidden="false" customHeight="false" outlineLevel="0" collapsed="false">
      <c r="A88" s="5" t="str">
        <f aca="false">IF($J88="","",77)</f>
        <v/>
      </c>
      <c r="B88" s="11" t="str">
        <f aca="false">IF($J88="","",INDEX('Soru Havuzu'!$D$2:$D$1001,$J88))</f>
        <v/>
      </c>
      <c r="C88" s="12" t="str">
        <f aca="false">IF($J88="","",INDEX('Soru Havuzu'!$E$2:$E$1001,$J88))</f>
        <v/>
      </c>
      <c r="D88" s="12" t="str">
        <f aca="false">IF($J88="","",INDEX('Soru Havuzu'!$F$2:$F$1001,$J88))</f>
        <v/>
      </c>
      <c r="E88" s="12" t="str">
        <f aca="false">IF($J88="","",INDEX('Soru Havuzu'!$G$2:$G$1001,$J88))</f>
        <v/>
      </c>
      <c r="F88" s="12" t="str">
        <f aca="false">IF($J88="","",INDEX('Soru Havuzu'!$H$2:$H$1001,$J88))</f>
        <v/>
      </c>
      <c r="G88" s="12" t="str">
        <f aca="false">IF($J88="","",INDEX('Soru Havuzu'!$B$2:$B$1001,$J88))</f>
        <v/>
      </c>
      <c r="H88" s="12" t="str">
        <f aca="false">IF($J88="","",INDEX('Soru Havuzu'!$C$2:$C$1001,$J88))</f>
        <v/>
      </c>
      <c r="J88" s="10" t="str">
        <f aca="false">IF(77&lt;=MIN($B$3,$B$6),MATCH(77,'Soru Havuzu'!$L$2:$L$1001,0),"")</f>
        <v/>
      </c>
    </row>
    <row r="89" customFormat="false" ht="15" hidden="false" customHeight="false" outlineLevel="0" collapsed="false">
      <c r="A89" s="5" t="str">
        <f aca="false">IF($J89="","",78)</f>
        <v/>
      </c>
      <c r="B89" s="11" t="str">
        <f aca="false">IF($J89="","",INDEX('Soru Havuzu'!$D$2:$D$1001,$J89))</f>
        <v/>
      </c>
      <c r="C89" s="12" t="str">
        <f aca="false">IF($J89="","",INDEX('Soru Havuzu'!$E$2:$E$1001,$J89))</f>
        <v/>
      </c>
      <c r="D89" s="12" t="str">
        <f aca="false">IF($J89="","",INDEX('Soru Havuzu'!$F$2:$F$1001,$J89))</f>
        <v/>
      </c>
      <c r="E89" s="12" t="str">
        <f aca="false">IF($J89="","",INDEX('Soru Havuzu'!$G$2:$G$1001,$J89))</f>
        <v/>
      </c>
      <c r="F89" s="12" t="str">
        <f aca="false">IF($J89="","",INDEX('Soru Havuzu'!$H$2:$H$1001,$J89))</f>
        <v/>
      </c>
      <c r="G89" s="12" t="str">
        <f aca="false">IF($J89="","",INDEX('Soru Havuzu'!$B$2:$B$1001,$J89))</f>
        <v/>
      </c>
      <c r="H89" s="12" t="str">
        <f aca="false">IF($J89="","",INDEX('Soru Havuzu'!$C$2:$C$1001,$J89))</f>
        <v/>
      </c>
      <c r="J89" s="10" t="str">
        <f aca="false">IF(78&lt;=MIN($B$3,$B$6),MATCH(78,'Soru Havuzu'!$L$2:$L$1001,0),"")</f>
        <v/>
      </c>
    </row>
    <row r="90" customFormat="false" ht="15" hidden="false" customHeight="false" outlineLevel="0" collapsed="false">
      <c r="A90" s="5" t="str">
        <f aca="false">IF($J90="","",79)</f>
        <v/>
      </c>
      <c r="B90" s="11" t="str">
        <f aca="false">IF($J90="","",INDEX('Soru Havuzu'!$D$2:$D$1001,$J90))</f>
        <v/>
      </c>
      <c r="C90" s="12" t="str">
        <f aca="false">IF($J90="","",INDEX('Soru Havuzu'!$E$2:$E$1001,$J90))</f>
        <v/>
      </c>
      <c r="D90" s="12" t="str">
        <f aca="false">IF($J90="","",INDEX('Soru Havuzu'!$F$2:$F$1001,$J90))</f>
        <v/>
      </c>
      <c r="E90" s="12" t="str">
        <f aca="false">IF($J90="","",INDEX('Soru Havuzu'!$G$2:$G$1001,$J90))</f>
        <v/>
      </c>
      <c r="F90" s="12" t="str">
        <f aca="false">IF($J90="","",INDEX('Soru Havuzu'!$H$2:$H$1001,$J90))</f>
        <v/>
      </c>
      <c r="G90" s="12" t="str">
        <f aca="false">IF($J90="","",INDEX('Soru Havuzu'!$B$2:$B$1001,$J90))</f>
        <v/>
      </c>
      <c r="H90" s="12" t="str">
        <f aca="false">IF($J90="","",INDEX('Soru Havuzu'!$C$2:$C$1001,$J90))</f>
        <v/>
      </c>
      <c r="J90" s="10" t="str">
        <f aca="false">IF(79&lt;=MIN($B$3,$B$6),MATCH(79,'Soru Havuzu'!$L$2:$L$1001,0),"")</f>
        <v/>
      </c>
    </row>
    <row r="91" customFormat="false" ht="15" hidden="false" customHeight="false" outlineLevel="0" collapsed="false">
      <c r="A91" s="5" t="str">
        <f aca="false">IF($J91="","",80)</f>
        <v/>
      </c>
      <c r="B91" s="11" t="str">
        <f aca="false">IF($J91="","",INDEX('Soru Havuzu'!$D$2:$D$1001,$J91))</f>
        <v/>
      </c>
      <c r="C91" s="12" t="str">
        <f aca="false">IF($J91="","",INDEX('Soru Havuzu'!$E$2:$E$1001,$J91))</f>
        <v/>
      </c>
      <c r="D91" s="12" t="str">
        <f aca="false">IF($J91="","",INDEX('Soru Havuzu'!$F$2:$F$1001,$J91))</f>
        <v/>
      </c>
      <c r="E91" s="12" t="str">
        <f aca="false">IF($J91="","",INDEX('Soru Havuzu'!$G$2:$G$1001,$J91))</f>
        <v/>
      </c>
      <c r="F91" s="12" t="str">
        <f aca="false">IF($J91="","",INDEX('Soru Havuzu'!$H$2:$H$1001,$J91))</f>
        <v/>
      </c>
      <c r="G91" s="12" t="str">
        <f aca="false">IF($J91="","",INDEX('Soru Havuzu'!$B$2:$B$1001,$J91))</f>
        <v/>
      </c>
      <c r="H91" s="12" t="str">
        <f aca="false">IF($J91="","",INDEX('Soru Havuzu'!$C$2:$C$1001,$J91))</f>
        <v/>
      </c>
      <c r="J91" s="10" t="str">
        <f aca="false">IF(80&lt;=MIN($B$3,$B$6),MATCH(80,'Soru Havuzu'!$L$2:$L$1001,0),"")</f>
        <v/>
      </c>
    </row>
    <row r="92" customFormat="false" ht="15" hidden="false" customHeight="false" outlineLevel="0" collapsed="false">
      <c r="A92" s="5" t="str">
        <f aca="false">IF($J92="","",81)</f>
        <v/>
      </c>
      <c r="B92" s="11" t="str">
        <f aca="false">IF($J92="","",INDEX('Soru Havuzu'!$D$2:$D$1001,$J92))</f>
        <v/>
      </c>
      <c r="C92" s="12" t="str">
        <f aca="false">IF($J92="","",INDEX('Soru Havuzu'!$E$2:$E$1001,$J92))</f>
        <v/>
      </c>
      <c r="D92" s="12" t="str">
        <f aca="false">IF($J92="","",INDEX('Soru Havuzu'!$F$2:$F$1001,$J92))</f>
        <v/>
      </c>
      <c r="E92" s="12" t="str">
        <f aca="false">IF($J92="","",INDEX('Soru Havuzu'!$G$2:$G$1001,$J92))</f>
        <v/>
      </c>
      <c r="F92" s="12" t="str">
        <f aca="false">IF($J92="","",INDEX('Soru Havuzu'!$H$2:$H$1001,$J92))</f>
        <v/>
      </c>
      <c r="G92" s="12" t="str">
        <f aca="false">IF($J92="","",INDEX('Soru Havuzu'!$B$2:$B$1001,$J92))</f>
        <v/>
      </c>
      <c r="H92" s="12" t="str">
        <f aca="false">IF($J92="","",INDEX('Soru Havuzu'!$C$2:$C$1001,$J92))</f>
        <v/>
      </c>
      <c r="J92" s="10" t="str">
        <f aca="false">IF(81&lt;=MIN($B$3,$B$6),MATCH(81,'Soru Havuzu'!$L$2:$L$1001,0),"")</f>
        <v/>
      </c>
    </row>
    <row r="93" customFormat="false" ht="15" hidden="false" customHeight="false" outlineLevel="0" collapsed="false">
      <c r="A93" s="5" t="str">
        <f aca="false">IF($J93="","",82)</f>
        <v/>
      </c>
      <c r="B93" s="11" t="str">
        <f aca="false">IF($J93="","",INDEX('Soru Havuzu'!$D$2:$D$1001,$J93))</f>
        <v/>
      </c>
      <c r="C93" s="12" t="str">
        <f aca="false">IF($J93="","",INDEX('Soru Havuzu'!$E$2:$E$1001,$J93))</f>
        <v/>
      </c>
      <c r="D93" s="12" t="str">
        <f aca="false">IF($J93="","",INDEX('Soru Havuzu'!$F$2:$F$1001,$J93))</f>
        <v/>
      </c>
      <c r="E93" s="12" t="str">
        <f aca="false">IF($J93="","",INDEX('Soru Havuzu'!$G$2:$G$1001,$J93))</f>
        <v/>
      </c>
      <c r="F93" s="12" t="str">
        <f aca="false">IF($J93="","",INDEX('Soru Havuzu'!$H$2:$H$1001,$J93))</f>
        <v/>
      </c>
      <c r="G93" s="12" t="str">
        <f aca="false">IF($J93="","",INDEX('Soru Havuzu'!$B$2:$B$1001,$J93))</f>
        <v/>
      </c>
      <c r="H93" s="12" t="str">
        <f aca="false">IF($J93="","",INDEX('Soru Havuzu'!$C$2:$C$1001,$J93))</f>
        <v/>
      </c>
      <c r="J93" s="10" t="str">
        <f aca="false">IF(82&lt;=MIN($B$3,$B$6),MATCH(82,'Soru Havuzu'!$L$2:$L$1001,0),"")</f>
        <v/>
      </c>
    </row>
    <row r="94" customFormat="false" ht="15" hidden="false" customHeight="false" outlineLevel="0" collapsed="false">
      <c r="A94" s="5" t="str">
        <f aca="false">IF($J94="","",83)</f>
        <v/>
      </c>
      <c r="B94" s="11" t="str">
        <f aca="false">IF($J94="","",INDEX('Soru Havuzu'!$D$2:$D$1001,$J94))</f>
        <v/>
      </c>
      <c r="C94" s="12" t="str">
        <f aca="false">IF($J94="","",INDEX('Soru Havuzu'!$E$2:$E$1001,$J94))</f>
        <v/>
      </c>
      <c r="D94" s="12" t="str">
        <f aca="false">IF($J94="","",INDEX('Soru Havuzu'!$F$2:$F$1001,$J94))</f>
        <v/>
      </c>
      <c r="E94" s="12" t="str">
        <f aca="false">IF($J94="","",INDEX('Soru Havuzu'!$G$2:$G$1001,$J94))</f>
        <v/>
      </c>
      <c r="F94" s="12" t="str">
        <f aca="false">IF($J94="","",INDEX('Soru Havuzu'!$H$2:$H$1001,$J94))</f>
        <v/>
      </c>
      <c r="G94" s="12" t="str">
        <f aca="false">IF($J94="","",INDEX('Soru Havuzu'!$B$2:$B$1001,$J94))</f>
        <v/>
      </c>
      <c r="H94" s="12" t="str">
        <f aca="false">IF($J94="","",INDEX('Soru Havuzu'!$C$2:$C$1001,$J94))</f>
        <v/>
      </c>
      <c r="J94" s="10" t="str">
        <f aca="false">IF(83&lt;=MIN($B$3,$B$6),MATCH(83,'Soru Havuzu'!$L$2:$L$1001,0),"")</f>
        <v/>
      </c>
    </row>
    <row r="95" customFormat="false" ht="15" hidden="false" customHeight="false" outlineLevel="0" collapsed="false">
      <c r="A95" s="5" t="str">
        <f aca="false">IF($J95="","",84)</f>
        <v/>
      </c>
      <c r="B95" s="11" t="str">
        <f aca="false">IF($J95="","",INDEX('Soru Havuzu'!$D$2:$D$1001,$J95))</f>
        <v/>
      </c>
      <c r="C95" s="12" t="str">
        <f aca="false">IF($J95="","",INDEX('Soru Havuzu'!$E$2:$E$1001,$J95))</f>
        <v/>
      </c>
      <c r="D95" s="12" t="str">
        <f aca="false">IF($J95="","",INDEX('Soru Havuzu'!$F$2:$F$1001,$J95))</f>
        <v/>
      </c>
      <c r="E95" s="12" t="str">
        <f aca="false">IF($J95="","",INDEX('Soru Havuzu'!$G$2:$G$1001,$J95))</f>
        <v/>
      </c>
      <c r="F95" s="12" t="str">
        <f aca="false">IF($J95="","",INDEX('Soru Havuzu'!$H$2:$H$1001,$J95))</f>
        <v/>
      </c>
      <c r="G95" s="12" t="str">
        <f aca="false">IF($J95="","",INDEX('Soru Havuzu'!$B$2:$B$1001,$J95))</f>
        <v/>
      </c>
      <c r="H95" s="12" t="str">
        <f aca="false">IF($J95="","",INDEX('Soru Havuzu'!$C$2:$C$1001,$J95))</f>
        <v/>
      </c>
      <c r="J95" s="10" t="str">
        <f aca="false">IF(84&lt;=MIN($B$3,$B$6),MATCH(84,'Soru Havuzu'!$L$2:$L$1001,0),"")</f>
        <v/>
      </c>
    </row>
    <row r="96" customFormat="false" ht="15" hidden="false" customHeight="false" outlineLevel="0" collapsed="false">
      <c r="A96" s="5" t="str">
        <f aca="false">IF($J96="","",85)</f>
        <v/>
      </c>
      <c r="B96" s="11" t="str">
        <f aca="false">IF($J96="","",INDEX('Soru Havuzu'!$D$2:$D$1001,$J96))</f>
        <v/>
      </c>
      <c r="C96" s="12" t="str">
        <f aca="false">IF($J96="","",INDEX('Soru Havuzu'!$E$2:$E$1001,$J96))</f>
        <v/>
      </c>
      <c r="D96" s="12" t="str">
        <f aca="false">IF($J96="","",INDEX('Soru Havuzu'!$F$2:$F$1001,$J96))</f>
        <v/>
      </c>
      <c r="E96" s="12" t="str">
        <f aca="false">IF($J96="","",INDEX('Soru Havuzu'!$G$2:$G$1001,$J96))</f>
        <v/>
      </c>
      <c r="F96" s="12" t="str">
        <f aca="false">IF($J96="","",INDEX('Soru Havuzu'!$H$2:$H$1001,$J96))</f>
        <v/>
      </c>
      <c r="G96" s="12" t="str">
        <f aca="false">IF($J96="","",INDEX('Soru Havuzu'!$B$2:$B$1001,$J96))</f>
        <v/>
      </c>
      <c r="H96" s="12" t="str">
        <f aca="false">IF($J96="","",INDEX('Soru Havuzu'!$C$2:$C$1001,$J96))</f>
        <v/>
      </c>
      <c r="J96" s="10" t="str">
        <f aca="false">IF(85&lt;=MIN($B$3,$B$6),MATCH(85,'Soru Havuzu'!$L$2:$L$1001,0),"")</f>
        <v/>
      </c>
    </row>
    <row r="97" customFormat="false" ht="15" hidden="false" customHeight="false" outlineLevel="0" collapsed="false">
      <c r="A97" s="5" t="str">
        <f aca="false">IF($J97="","",86)</f>
        <v/>
      </c>
      <c r="B97" s="11" t="str">
        <f aca="false">IF($J97="","",INDEX('Soru Havuzu'!$D$2:$D$1001,$J97))</f>
        <v/>
      </c>
      <c r="C97" s="12" t="str">
        <f aca="false">IF($J97="","",INDEX('Soru Havuzu'!$E$2:$E$1001,$J97))</f>
        <v/>
      </c>
      <c r="D97" s="12" t="str">
        <f aca="false">IF($J97="","",INDEX('Soru Havuzu'!$F$2:$F$1001,$J97))</f>
        <v/>
      </c>
      <c r="E97" s="12" t="str">
        <f aca="false">IF($J97="","",INDEX('Soru Havuzu'!$G$2:$G$1001,$J97))</f>
        <v/>
      </c>
      <c r="F97" s="12" t="str">
        <f aca="false">IF($J97="","",INDEX('Soru Havuzu'!$H$2:$H$1001,$J97))</f>
        <v/>
      </c>
      <c r="G97" s="12" t="str">
        <f aca="false">IF($J97="","",INDEX('Soru Havuzu'!$B$2:$B$1001,$J97))</f>
        <v/>
      </c>
      <c r="H97" s="12" t="str">
        <f aca="false">IF($J97="","",INDEX('Soru Havuzu'!$C$2:$C$1001,$J97))</f>
        <v/>
      </c>
      <c r="J97" s="10" t="str">
        <f aca="false">IF(86&lt;=MIN($B$3,$B$6),MATCH(86,'Soru Havuzu'!$L$2:$L$1001,0),"")</f>
        <v/>
      </c>
    </row>
    <row r="98" customFormat="false" ht="15" hidden="false" customHeight="false" outlineLevel="0" collapsed="false">
      <c r="A98" s="5" t="str">
        <f aca="false">IF($J98="","",87)</f>
        <v/>
      </c>
      <c r="B98" s="11" t="str">
        <f aca="false">IF($J98="","",INDEX('Soru Havuzu'!$D$2:$D$1001,$J98))</f>
        <v/>
      </c>
      <c r="C98" s="12" t="str">
        <f aca="false">IF($J98="","",INDEX('Soru Havuzu'!$E$2:$E$1001,$J98))</f>
        <v/>
      </c>
      <c r="D98" s="12" t="str">
        <f aca="false">IF($J98="","",INDEX('Soru Havuzu'!$F$2:$F$1001,$J98))</f>
        <v/>
      </c>
      <c r="E98" s="12" t="str">
        <f aca="false">IF($J98="","",INDEX('Soru Havuzu'!$G$2:$G$1001,$J98))</f>
        <v/>
      </c>
      <c r="F98" s="12" t="str">
        <f aca="false">IF($J98="","",INDEX('Soru Havuzu'!$H$2:$H$1001,$J98))</f>
        <v/>
      </c>
      <c r="G98" s="12" t="str">
        <f aca="false">IF($J98="","",INDEX('Soru Havuzu'!$B$2:$B$1001,$J98))</f>
        <v/>
      </c>
      <c r="H98" s="12" t="str">
        <f aca="false">IF($J98="","",INDEX('Soru Havuzu'!$C$2:$C$1001,$J98))</f>
        <v/>
      </c>
      <c r="J98" s="10" t="str">
        <f aca="false">IF(87&lt;=MIN($B$3,$B$6),MATCH(87,'Soru Havuzu'!$L$2:$L$1001,0),"")</f>
        <v/>
      </c>
    </row>
    <row r="99" customFormat="false" ht="15" hidden="false" customHeight="false" outlineLevel="0" collapsed="false">
      <c r="A99" s="5" t="str">
        <f aca="false">IF($J99="","",88)</f>
        <v/>
      </c>
      <c r="B99" s="11" t="str">
        <f aca="false">IF($J99="","",INDEX('Soru Havuzu'!$D$2:$D$1001,$J99))</f>
        <v/>
      </c>
      <c r="C99" s="12" t="str">
        <f aca="false">IF($J99="","",INDEX('Soru Havuzu'!$E$2:$E$1001,$J99))</f>
        <v/>
      </c>
      <c r="D99" s="12" t="str">
        <f aca="false">IF($J99="","",INDEX('Soru Havuzu'!$F$2:$F$1001,$J99))</f>
        <v/>
      </c>
      <c r="E99" s="12" t="str">
        <f aca="false">IF($J99="","",INDEX('Soru Havuzu'!$G$2:$G$1001,$J99))</f>
        <v/>
      </c>
      <c r="F99" s="12" t="str">
        <f aca="false">IF($J99="","",INDEX('Soru Havuzu'!$H$2:$H$1001,$J99))</f>
        <v/>
      </c>
      <c r="G99" s="12" t="str">
        <f aca="false">IF($J99="","",INDEX('Soru Havuzu'!$B$2:$B$1001,$J99))</f>
        <v/>
      </c>
      <c r="H99" s="12" t="str">
        <f aca="false">IF($J99="","",INDEX('Soru Havuzu'!$C$2:$C$1001,$J99))</f>
        <v/>
      </c>
      <c r="J99" s="10" t="str">
        <f aca="false">IF(88&lt;=MIN($B$3,$B$6),MATCH(88,'Soru Havuzu'!$L$2:$L$1001,0),"")</f>
        <v/>
      </c>
    </row>
    <row r="100" customFormat="false" ht="15" hidden="false" customHeight="false" outlineLevel="0" collapsed="false">
      <c r="A100" s="5" t="str">
        <f aca="false">IF($J100="","",89)</f>
        <v/>
      </c>
      <c r="B100" s="11" t="str">
        <f aca="false">IF($J100="","",INDEX('Soru Havuzu'!$D$2:$D$1001,$J100))</f>
        <v/>
      </c>
      <c r="C100" s="12" t="str">
        <f aca="false">IF($J100="","",INDEX('Soru Havuzu'!$E$2:$E$1001,$J100))</f>
        <v/>
      </c>
      <c r="D100" s="12" t="str">
        <f aca="false">IF($J100="","",INDEX('Soru Havuzu'!$F$2:$F$1001,$J100))</f>
        <v/>
      </c>
      <c r="E100" s="12" t="str">
        <f aca="false">IF($J100="","",INDEX('Soru Havuzu'!$G$2:$G$1001,$J100))</f>
        <v/>
      </c>
      <c r="F100" s="12" t="str">
        <f aca="false">IF($J100="","",INDEX('Soru Havuzu'!$H$2:$H$1001,$J100))</f>
        <v/>
      </c>
      <c r="G100" s="12" t="str">
        <f aca="false">IF($J100="","",INDEX('Soru Havuzu'!$B$2:$B$1001,$J100))</f>
        <v/>
      </c>
      <c r="H100" s="12" t="str">
        <f aca="false">IF($J100="","",INDEX('Soru Havuzu'!$C$2:$C$1001,$J100))</f>
        <v/>
      </c>
      <c r="J100" s="10" t="str">
        <f aca="false">IF(89&lt;=MIN($B$3,$B$6),MATCH(89,'Soru Havuzu'!$L$2:$L$1001,0),"")</f>
        <v/>
      </c>
    </row>
    <row r="101" customFormat="false" ht="15" hidden="false" customHeight="false" outlineLevel="0" collapsed="false">
      <c r="A101" s="5" t="str">
        <f aca="false">IF($J101="","",90)</f>
        <v/>
      </c>
      <c r="B101" s="11" t="str">
        <f aca="false">IF($J101="","",INDEX('Soru Havuzu'!$D$2:$D$1001,$J101))</f>
        <v/>
      </c>
      <c r="C101" s="12" t="str">
        <f aca="false">IF($J101="","",INDEX('Soru Havuzu'!$E$2:$E$1001,$J101))</f>
        <v/>
      </c>
      <c r="D101" s="12" t="str">
        <f aca="false">IF($J101="","",INDEX('Soru Havuzu'!$F$2:$F$1001,$J101))</f>
        <v/>
      </c>
      <c r="E101" s="12" t="str">
        <f aca="false">IF($J101="","",INDEX('Soru Havuzu'!$G$2:$G$1001,$J101))</f>
        <v/>
      </c>
      <c r="F101" s="12" t="str">
        <f aca="false">IF($J101="","",INDEX('Soru Havuzu'!$H$2:$H$1001,$J101))</f>
        <v/>
      </c>
      <c r="G101" s="12" t="str">
        <f aca="false">IF($J101="","",INDEX('Soru Havuzu'!$B$2:$B$1001,$J101))</f>
        <v/>
      </c>
      <c r="H101" s="12" t="str">
        <f aca="false">IF($J101="","",INDEX('Soru Havuzu'!$C$2:$C$1001,$J101))</f>
        <v/>
      </c>
      <c r="J101" s="10" t="str">
        <f aca="false">IF(90&lt;=MIN($B$3,$B$6),MATCH(90,'Soru Havuzu'!$L$2:$L$1001,0),"")</f>
        <v/>
      </c>
    </row>
    <row r="102" customFormat="false" ht="15" hidden="false" customHeight="false" outlineLevel="0" collapsed="false">
      <c r="A102" s="5" t="str">
        <f aca="false">IF($J102="","",91)</f>
        <v/>
      </c>
      <c r="B102" s="11" t="str">
        <f aca="false">IF($J102="","",INDEX('Soru Havuzu'!$D$2:$D$1001,$J102))</f>
        <v/>
      </c>
      <c r="C102" s="12" t="str">
        <f aca="false">IF($J102="","",INDEX('Soru Havuzu'!$E$2:$E$1001,$J102))</f>
        <v/>
      </c>
      <c r="D102" s="12" t="str">
        <f aca="false">IF($J102="","",INDEX('Soru Havuzu'!$F$2:$F$1001,$J102))</f>
        <v/>
      </c>
      <c r="E102" s="12" t="str">
        <f aca="false">IF($J102="","",INDEX('Soru Havuzu'!$G$2:$G$1001,$J102))</f>
        <v/>
      </c>
      <c r="F102" s="12" t="str">
        <f aca="false">IF($J102="","",INDEX('Soru Havuzu'!$H$2:$H$1001,$J102))</f>
        <v/>
      </c>
      <c r="G102" s="12" t="str">
        <f aca="false">IF($J102="","",INDEX('Soru Havuzu'!$B$2:$B$1001,$J102))</f>
        <v/>
      </c>
      <c r="H102" s="12" t="str">
        <f aca="false">IF($J102="","",INDEX('Soru Havuzu'!$C$2:$C$1001,$J102))</f>
        <v/>
      </c>
      <c r="J102" s="10" t="str">
        <f aca="false">IF(91&lt;=MIN($B$3,$B$6),MATCH(91,'Soru Havuzu'!$L$2:$L$1001,0),"")</f>
        <v/>
      </c>
    </row>
    <row r="103" customFormat="false" ht="15" hidden="false" customHeight="false" outlineLevel="0" collapsed="false">
      <c r="A103" s="5" t="str">
        <f aca="false">IF($J103="","",92)</f>
        <v/>
      </c>
      <c r="B103" s="11" t="str">
        <f aca="false">IF($J103="","",INDEX('Soru Havuzu'!$D$2:$D$1001,$J103))</f>
        <v/>
      </c>
      <c r="C103" s="12" t="str">
        <f aca="false">IF($J103="","",INDEX('Soru Havuzu'!$E$2:$E$1001,$J103))</f>
        <v/>
      </c>
      <c r="D103" s="12" t="str">
        <f aca="false">IF($J103="","",INDEX('Soru Havuzu'!$F$2:$F$1001,$J103))</f>
        <v/>
      </c>
      <c r="E103" s="12" t="str">
        <f aca="false">IF($J103="","",INDEX('Soru Havuzu'!$G$2:$G$1001,$J103))</f>
        <v/>
      </c>
      <c r="F103" s="12" t="str">
        <f aca="false">IF($J103="","",INDEX('Soru Havuzu'!$H$2:$H$1001,$J103))</f>
        <v/>
      </c>
      <c r="G103" s="12" t="str">
        <f aca="false">IF($J103="","",INDEX('Soru Havuzu'!$B$2:$B$1001,$J103))</f>
        <v/>
      </c>
      <c r="H103" s="12" t="str">
        <f aca="false">IF($J103="","",INDEX('Soru Havuzu'!$C$2:$C$1001,$J103))</f>
        <v/>
      </c>
      <c r="J103" s="10" t="str">
        <f aca="false">IF(92&lt;=MIN($B$3,$B$6),MATCH(92,'Soru Havuzu'!$L$2:$L$1001,0),"")</f>
        <v/>
      </c>
    </row>
    <row r="104" customFormat="false" ht="15" hidden="false" customHeight="false" outlineLevel="0" collapsed="false">
      <c r="A104" s="5" t="str">
        <f aca="false">IF($J104="","",93)</f>
        <v/>
      </c>
      <c r="B104" s="11" t="str">
        <f aca="false">IF($J104="","",INDEX('Soru Havuzu'!$D$2:$D$1001,$J104))</f>
        <v/>
      </c>
      <c r="C104" s="12" t="str">
        <f aca="false">IF($J104="","",INDEX('Soru Havuzu'!$E$2:$E$1001,$J104))</f>
        <v/>
      </c>
      <c r="D104" s="12" t="str">
        <f aca="false">IF($J104="","",INDEX('Soru Havuzu'!$F$2:$F$1001,$J104))</f>
        <v/>
      </c>
      <c r="E104" s="12" t="str">
        <f aca="false">IF($J104="","",INDEX('Soru Havuzu'!$G$2:$G$1001,$J104))</f>
        <v/>
      </c>
      <c r="F104" s="12" t="str">
        <f aca="false">IF($J104="","",INDEX('Soru Havuzu'!$H$2:$H$1001,$J104))</f>
        <v/>
      </c>
      <c r="G104" s="12" t="str">
        <f aca="false">IF($J104="","",INDEX('Soru Havuzu'!$B$2:$B$1001,$J104))</f>
        <v/>
      </c>
      <c r="H104" s="12" t="str">
        <f aca="false">IF($J104="","",INDEX('Soru Havuzu'!$C$2:$C$1001,$J104))</f>
        <v/>
      </c>
      <c r="J104" s="10" t="str">
        <f aca="false">IF(93&lt;=MIN($B$3,$B$6),MATCH(93,'Soru Havuzu'!$L$2:$L$1001,0),"")</f>
        <v/>
      </c>
    </row>
    <row r="105" customFormat="false" ht="15" hidden="false" customHeight="false" outlineLevel="0" collapsed="false">
      <c r="A105" s="5" t="str">
        <f aca="false">IF($J105="","",94)</f>
        <v/>
      </c>
      <c r="B105" s="11" t="str">
        <f aca="false">IF($J105="","",INDEX('Soru Havuzu'!$D$2:$D$1001,$J105))</f>
        <v/>
      </c>
      <c r="C105" s="12" t="str">
        <f aca="false">IF($J105="","",INDEX('Soru Havuzu'!$E$2:$E$1001,$J105))</f>
        <v/>
      </c>
      <c r="D105" s="12" t="str">
        <f aca="false">IF($J105="","",INDEX('Soru Havuzu'!$F$2:$F$1001,$J105))</f>
        <v/>
      </c>
      <c r="E105" s="12" t="str">
        <f aca="false">IF($J105="","",INDEX('Soru Havuzu'!$G$2:$G$1001,$J105))</f>
        <v/>
      </c>
      <c r="F105" s="12" t="str">
        <f aca="false">IF($J105="","",INDEX('Soru Havuzu'!$H$2:$H$1001,$J105))</f>
        <v/>
      </c>
      <c r="G105" s="12" t="str">
        <f aca="false">IF($J105="","",INDEX('Soru Havuzu'!$B$2:$B$1001,$J105))</f>
        <v/>
      </c>
      <c r="H105" s="12" t="str">
        <f aca="false">IF($J105="","",INDEX('Soru Havuzu'!$C$2:$C$1001,$J105))</f>
        <v/>
      </c>
      <c r="J105" s="10" t="str">
        <f aca="false">IF(94&lt;=MIN($B$3,$B$6),MATCH(94,'Soru Havuzu'!$L$2:$L$1001,0),"")</f>
        <v/>
      </c>
    </row>
    <row r="106" customFormat="false" ht="15" hidden="false" customHeight="false" outlineLevel="0" collapsed="false">
      <c r="A106" s="5" t="str">
        <f aca="false">IF($J106="","",95)</f>
        <v/>
      </c>
      <c r="B106" s="11" t="str">
        <f aca="false">IF($J106="","",INDEX('Soru Havuzu'!$D$2:$D$1001,$J106))</f>
        <v/>
      </c>
      <c r="C106" s="12" t="str">
        <f aca="false">IF($J106="","",INDEX('Soru Havuzu'!$E$2:$E$1001,$J106))</f>
        <v/>
      </c>
      <c r="D106" s="12" t="str">
        <f aca="false">IF($J106="","",INDEX('Soru Havuzu'!$F$2:$F$1001,$J106))</f>
        <v/>
      </c>
      <c r="E106" s="12" t="str">
        <f aca="false">IF($J106="","",INDEX('Soru Havuzu'!$G$2:$G$1001,$J106))</f>
        <v/>
      </c>
      <c r="F106" s="12" t="str">
        <f aca="false">IF($J106="","",INDEX('Soru Havuzu'!$H$2:$H$1001,$J106))</f>
        <v/>
      </c>
      <c r="G106" s="12" t="str">
        <f aca="false">IF($J106="","",INDEX('Soru Havuzu'!$B$2:$B$1001,$J106))</f>
        <v/>
      </c>
      <c r="H106" s="12" t="str">
        <f aca="false">IF($J106="","",INDEX('Soru Havuzu'!$C$2:$C$1001,$J106))</f>
        <v/>
      </c>
      <c r="J106" s="10" t="str">
        <f aca="false">IF(95&lt;=MIN($B$3,$B$6),MATCH(95,'Soru Havuzu'!$L$2:$L$1001,0),"")</f>
        <v/>
      </c>
    </row>
    <row r="107" customFormat="false" ht="15" hidden="false" customHeight="false" outlineLevel="0" collapsed="false">
      <c r="A107" s="5" t="str">
        <f aca="false">IF($J107="","",96)</f>
        <v/>
      </c>
      <c r="B107" s="11" t="str">
        <f aca="false">IF($J107="","",INDEX('Soru Havuzu'!$D$2:$D$1001,$J107))</f>
        <v/>
      </c>
      <c r="C107" s="12" t="str">
        <f aca="false">IF($J107="","",INDEX('Soru Havuzu'!$E$2:$E$1001,$J107))</f>
        <v/>
      </c>
      <c r="D107" s="12" t="str">
        <f aca="false">IF($J107="","",INDEX('Soru Havuzu'!$F$2:$F$1001,$J107))</f>
        <v/>
      </c>
      <c r="E107" s="12" t="str">
        <f aca="false">IF($J107="","",INDEX('Soru Havuzu'!$G$2:$G$1001,$J107))</f>
        <v/>
      </c>
      <c r="F107" s="12" t="str">
        <f aca="false">IF($J107="","",INDEX('Soru Havuzu'!$H$2:$H$1001,$J107))</f>
        <v/>
      </c>
      <c r="G107" s="12" t="str">
        <f aca="false">IF($J107="","",INDEX('Soru Havuzu'!$B$2:$B$1001,$J107))</f>
        <v/>
      </c>
      <c r="H107" s="12" t="str">
        <f aca="false">IF($J107="","",INDEX('Soru Havuzu'!$C$2:$C$1001,$J107))</f>
        <v/>
      </c>
      <c r="J107" s="10" t="str">
        <f aca="false">IF(96&lt;=MIN($B$3,$B$6),MATCH(96,'Soru Havuzu'!$L$2:$L$1001,0),"")</f>
        <v/>
      </c>
    </row>
    <row r="108" customFormat="false" ht="15" hidden="false" customHeight="false" outlineLevel="0" collapsed="false">
      <c r="A108" s="5" t="str">
        <f aca="false">IF($J108="","",97)</f>
        <v/>
      </c>
      <c r="B108" s="11" t="str">
        <f aca="false">IF($J108="","",INDEX('Soru Havuzu'!$D$2:$D$1001,$J108))</f>
        <v/>
      </c>
      <c r="C108" s="12" t="str">
        <f aca="false">IF($J108="","",INDEX('Soru Havuzu'!$E$2:$E$1001,$J108))</f>
        <v/>
      </c>
      <c r="D108" s="12" t="str">
        <f aca="false">IF($J108="","",INDEX('Soru Havuzu'!$F$2:$F$1001,$J108))</f>
        <v/>
      </c>
      <c r="E108" s="12" t="str">
        <f aca="false">IF($J108="","",INDEX('Soru Havuzu'!$G$2:$G$1001,$J108))</f>
        <v/>
      </c>
      <c r="F108" s="12" t="str">
        <f aca="false">IF($J108="","",INDEX('Soru Havuzu'!$H$2:$H$1001,$J108))</f>
        <v/>
      </c>
      <c r="G108" s="12" t="str">
        <f aca="false">IF($J108="","",INDEX('Soru Havuzu'!$B$2:$B$1001,$J108))</f>
        <v/>
      </c>
      <c r="H108" s="12" t="str">
        <f aca="false">IF($J108="","",INDEX('Soru Havuzu'!$C$2:$C$1001,$J108))</f>
        <v/>
      </c>
      <c r="J108" s="10" t="str">
        <f aca="false">IF(97&lt;=MIN($B$3,$B$6),MATCH(97,'Soru Havuzu'!$L$2:$L$1001,0),"")</f>
        <v/>
      </c>
    </row>
    <row r="109" customFormat="false" ht="15" hidden="false" customHeight="false" outlineLevel="0" collapsed="false">
      <c r="A109" s="5" t="str">
        <f aca="false">IF($J109="","",98)</f>
        <v/>
      </c>
      <c r="B109" s="11" t="str">
        <f aca="false">IF($J109="","",INDEX('Soru Havuzu'!$D$2:$D$1001,$J109))</f>
        <v/>
      </c>
      <c r="C109" s="12" t="str">
        <f aca="false">IF($J109="","",INDEX('Soru Havuzu'!$E$2:$E$1001,$J109))</f>
        <v/>
      </c>
      <c r="D109" s="12" t="str">
        <f aca="false">IF($J109="","",INDEX('Soru Havuzu'!$F$2:$F$1001,$J109))</f>
        <v/>
      </c>
      <c r="E109" s="12" t="str">
        <f aca="false">IF($J109="","",INDEX('Soru Havuzu'!$G$2:$G$1001,$J109))</f>
        <v/>
      </c>
      <c r="F109" s="12" t="str">
        <f aca="false">IF($J109="","",INDEX('Soru Havuzu'!$H$2:$H$1001,$J109))</f>
        <v/>
      </c>
      <c r="G109" s="12" t="str">
        <f aca="false">IF($J109="","",INDEX('Soru Havuzu'!$B$2:$B$1001,$J109))</f>
        <v/>
      </c>
      <c r="H109" s="12" t="str">
        <f aca="false">IF($J109="","",INDEX('Soru Havuzu'!$C$2:$C$1001,$J109))</f>
        <v/>
      </c>
      <c r="J109" s="10" t="str">
        <f aca="false">IF(98&lt;=MIN($B$3,$B$6),MATCH(98,'Soru Havuzu'!$L$2:$L$1001,0),"")</f>
        <v/>
      </c>
    </row>
    <row r="110" customFormat="false" ht="15" hidden="false" customHeight="false" outlineLevel="0" collapsed="false">
      <c r="A110" s="5" t="str">
        <f aca="false">IF($J110="","",99)</f>
        <v/>
      </c>
      <c r="B110" s="11" t="str">
        <f aca="false">IF($J110="","",INDEX('Soru Havuzu'!$D$2:$D$1001,$J110))</f>
        <v/>
      </c>
      <c r="C110" s="12" t="str">
        <f aca="false">IF($J110="","",INDEX('Soru Havuzu'!$E$2:$E$1001,$J110))</f>
        <v/>
      </c>
      <c r="D110" s="12" t="str">
        <f aca="false">IF($J110="","",INDEX('Soru Havuzu'!$F$2:$F$1001,$J110))</f>
        <v/>
      </c>
      <c r="E110" s="12" t="str">
        <f aca="false">IF($J110="","",INDEX('Soru Havuzu'!$G$2:$G$1001,$J110))</f>
        <v/>
      </c>
      <c r="F110" s="12" t="str">
        <f aca="false">IF($J110="","",INDEX('Soru Havuzu'!$H$2:$H$1001,$J110))</f>
        <v/>
      </c>
      <c r="G110" s="12" t="str">
        <f aca="false">IF($J110="","",INDEX('Soru Havuzu'!$B$2:$B$1001,$J110))</f>
        <v/>
      </c>
      <c r="H110" s="12" t="str">
        <f aca="false">IF($J110="","",INDEX('Soru Havuzu'!$C$2:$C$1001,$J110))</f>
        <v/>
      </c>
      <c r="J110" s="10" t="str">
        <f aca="false">IF(99&lt;=MIN($B$3,$B$6),MATCH(99,'Soru Havuzu'!$L$2:$L$1001,0),"")</f>
        <v/>
      </c>
    </row>
    <row r="111" customFormat="false" ht="15" hidden="false" customHeight="false" outlineLevel="0" collapsed="false">
      <c r="A111" s="5" t="str">
        <f aca="false">IF($J111="","",100)</f>
        <v/>
      </c>
      <c r="B111" s="11" t="str">
        <f aca="false">IF($J111="","",INDEX('Soru Havuzu'!$D$2:$D$1001,$J111))</f>
        <v/>
      </c>
      <c r="C111" s="12" t="str">
        <f aca="false">IF($J111="","",INDEX('Soru Havuzu'!$E$2:$E$1001,$J111))</f>
        <v/>
      </c>
      <c r="D111" s="12" t="str">
        <f aca="false">IF($J111="","",INDEX('Soru Havuzu'!$F$2:$F$1001,$J111))</f>
        <v/>
      </c>
      <c r="E111" s="12" t="str">
        <f aca="false">IF($J111="","",INDEX('Soru Havuzu'!$G$2:$G$1001,$J111))</f>
        <v/>
      </c>
      <c r="F111" s="12" t="str">
        <f aca="false">IF($J111="","",INDEX('Soru Havuzu'!$H$2:$H$1001,$J111))</f>
        <v/>
      </c>
      <c r="G111" s="12" t="str">
        <f aca="false">IF($J111="","",INDEX('Soru Havuzu'!$B$2:$B$1001,$J111))</f>
        <v/>
      </c>
      <c r="H111" s="12" t="str">
        <f aca="false">IF($J111="","",INDEX('Soru Havuzu'!$C$2:$C$1001,$J111))</f>
        <v/>
      </c>
      <c r="J111" s="10" t="str">
        <f aca="false">IF(100&lt;=MIN($B$3,$B$6),MATCH(100,'Soru Havuzu'!$L$2:$L$1001,0),"")</f>
        <v/>
      </c>
    </row>
  </sheetData>
  <mergeCells count="3">
    <mergeCell ref="A1:H1"/>
    <mergeCell ref="A8:H8"/>
    <mergeCell ref="A9:H9"/>
  </mergeCells>
  <conditionalFormatting sqref="A12:H111">
    <cfRule type="expression" priority="2" aboveAverage="0" equalAverage="0" bottom="0" percent="0" rank="0" text="" dxfId="0">
      <formula>$A12&lt;&gt;""</formula>
    </cfRule>
  </conditionalFormatting>
  <dataValidations count="3">
    <dataValidation allowBlank="false" error="1 ile 100 arasında bir sayı girin." errorStyle="stop" errorTitle="Hatalı değer" operator="between" showDropDown="false" showErrorMessage="true" showInputMessage="false" sqref="B3" type="whole">
      <formula1>1</formula1>
      <formula2>100</formula2>
    </dataValidation>
    <dataValidation allowBlank="false" errorStyle="stop" operator="between" showDropDown="false" showErrorMessage="false" showInputMessage="false" sqref="B4" type="list">
      <formula1>"Hepsi,Sayının Küpü,Küpün Hacmi,Küpün Özellikleri"</formula1>
      <formula2>0</formula2>
    </dataValidation>
    <dataValidation allowBlank="false" errorStyle="stop" operator="between" showDropDown="false" showErrorMessage="false" showInputMessage="false" sqref="B5" type="list">
      <formula1>"Hepsi,Kolay,Orta,Zor"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70"/>
    <col collapsed="false" customWidth="true" hidden="false" outlineLevel="0" max="8" min="5" style="0" width="16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7"/>
  </cols>
  <sheetData>
    <row r="1" customFormat="false" ht="26.85" hidden="false" customHeight="false" outlineLevel="0" collapsed="false">
      <c r="A1" s="9" t="s">
        <v>11</v>
      </c>
      <c r="B1" s="9" t="s">
        <v>3</v>
      </c>
      <c r="C1" s="9" t="s">
        <v>6</v>
      </c>
      <c r="D1" s="9" t="s">
        <v>12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25</v>
      </c>
    </row>
    <row r="2" customFormat="false" ht="15" hidden="false" customHeight="false" outlineLevel="0" collapsed="false">
      <c r="A2" s="12" t="n">
        <v>1</v>
      </c>
      <c r="B2" s="12" t="s">
        <v>26</v>
      </c>
      <c r="C2" s="12" t="s">
        <v>27</v>
      </c>
      <c r="D2" s="11" t="s">
        <v>28</v>
      </c>
      <c r="E2" s="12" t="s">
        <v>29</v>
      </c>
      <c r="F2" s="12" t="s">
        <v>30</v>
      </c>
      <c r="G2" s="12" t="s">
        <v>31</v>
      </c>
      <c r="H2" s="12" t="s">
        <v>32</v>
      </c>
      <c r="I2" s="12" t="s">
        <v>19</v>
      </c>
      <c r="J2" s="10" t="n">
        <f aca="false">IF($D2="",0,IF(AND(OR(Test!$B$4="Hepsi",$B2=Test!$B$4),OR(Test!$B$5="Hepsi",$C2=Test!$B$5)),1,0))</f>
        <v>1</v>
      </c>
      <c r="K2" s="10" t="n">
        <f aca="true">IF($J2=1,RAND(),-1)</f>
        <v>0.0411754098130525</v>
      </c>
      <c r="L2" s="10" t="n">
        <f aca="false">IF($J2=1,RANK($K2,$K$2:$K$1001),"")</f>
        <v>217</v>
      </c>
    </row>
    <row r="3" customFormat="false" ht="15" hidden="false" customHeight="false" outlineLevel="0" collapsed="false">
      <c r="A3" s="12" t="n">
        <v>2</v>
      </c>
      <c r="B3" s="12" t="s">
        <v>26</v>
      </c>
      <c r="C3" s="12" t="s">
        <v>27</v>
      </c>
      <c r="D3" s="11" t="s">
        <v>33</v>
      </c>
      <c r="E3" s="12" t="s">
        <v>34</v>
      </c>
      <c r="F3" s="12" t="s">
        <v>35</v>
      </c>
      <c r="G3" s="12" t="s">
        <v>36</v>
      </c>
      <c r="H3" s="12" t="s">
        <v>29</v>
      </c>
      <c r="I3" s="12" t="s">
        <v>19</v>
      </c>
      <c r="J3" s="10" t="n">
        <f aca="false">IF($D3="",0,IF(AND(OR(Test!$B$4="Hepsi",$B3=Test!$B$4),OR(Test!$B$5="Hepsi",$C3=Test!$B$5)),1,0))</f>
        <v>1</v>
      </c>
      <c r="K3" s="10" t="n">
        <f aca="true">IF($J3=1,RAND(),-1)</f>
        <v>0.449411186215152</v>
      </c>
      <c r="L3" s="10" t="n">
        <f aca="false">IF($J3=1,RANK($K3,$K$2:$K$1001),"")</f>
        <v>132</v>
      </c>
    </row>
    <row r="4" customFormat="false" ht="15" hidden="false" customHeight="false" outlineLevel="0" collapsed="false">
      <c r="A4" s="12" t="n">
        <v>3</v>
      </c>
      <c r="B4" s="12" t="s">
        <v>26</v>
      </c>
      <c r="C4" s="12" t="s">
        <v>27</v>
      </c>
      <c r="D4" s="11" t="s">
        <v>37</v>
      </c>
      <c r="E4" s="12" t="s">
        <v>38</v>
      </c>
      <c r="F4" s="12" t="s">
        <v>39</v>
      </c>
      <c r="G4" s="12" t="s">
        <v>34</v>
      </c>
      <c r="H4" s="12" t="s">
        <v>40</v>
      </c>
      <c r="I4" s="12" t="s">
        <v>21</v>
      </c>
      <c r="J4" s="10" t="n">
        <f aca="false">IF($D4="",0,IF(AND(OR(Test!$B$4="Hepsi",$B4=Test!$B$4),OR(Test!$B$5="Hepsi",$C4=Test!$B$5)),1,0))</f>
        <v>1</v>
      </c>
      <c r="K4" s="10" t="n">
        <f aca="true">IF($J4=1,RAND(),-1)</f>
        <v>0.601096491243837</v>
      </c>
      <c r="L4" s="10" t="n">
        <f aca="false">IF($J4=1,RANK($K4,$K$2:$K$1001),"")</f>
        <v>98</v>
      </c>
    </row>
    <row r="5" customFormat="false" ht="15" hidden="false" customHeight="false" outlineLevel="0" collapsed="false">
      <c r="A5" s="12" t="n">
        <v>4</v>
      </c>
      <c r="B5" s="12" t="s">
        <v>26</v>
      </c>
      <c r="C5" s="12" t="s">
        <v>27</v>
      </c>
      <c r="D5" s="11" t="s">
        <v>41</v>
      </c>
      <c r="E5" s="12" t="s">
        <v>42</v>
      </c>
      <c r="F5" s="12" t="s">
        <v>43</v>
      </c>
      <c r="G5" s="12" t="s">
        <v>44</v>
      </c>
      <c r="H5" s="12" t="s">
        <v>45</v>
      </c>
      <c r="I5" s="12" t="s">
        <v>18</v>
      </c>
      <c r="J5" s="10" t="n">
        <f aca="false">IF($D5="",0,IF(AND(OR(Test!$B$4="Hepsi",$B5=Test!$B$4),OR(Test!$B$5="Hepsi",$C5=Test!$B$5)),1,0))</f>
        <v>1</v>
      </c>
      <c r="K5" s="10" t="n">
        <f aca="true">IF($J5=1,RAND(),-1)</f>
        <v>0.830308326299626</v>
      </c>
      <c r="L5" s="10" t="n">
        <f aca="false">IF($J5=1,RANK($K5,$K$2:$K$1001),"")</f>
        <v>44</v>
      </c>
    </row>
    <row r="6" customFormat="false" ht="15" hidden="false" customHeight="false" outlineLevel="0" collapsed="false">
      <c r="A6" s="12" t="n">
        <v>5</v>
      </c>
      <c r="B6" s="12" t="s">
        <v>26</v>
      </c>
      <c r="C6" s="12" t="s">
        <v>27</v>
      </c>
      <c r="D6" s="11" t="s">
        <v>46</v>
      </c>
      <c r="E6" s="12" t="s">
        <v>47</v>
      </c>
      <c r="F6" s="12" t="s">
        <v>48</v>
      </c>
      <c r="G6" s="12" t="s">
        <v>49</v>
      </c>
      <c r="H6" s="12" t="s">
        <v>50</v>
      </c>
      <c r="I6" s="12" t="s">
        <v>19</v>
      </c>
      <c r="J6" s="10" t="n">
        <f aca="false">IF($D6="",0,IF(AND(OR(Test!$B$4="Hepsi",$B6=Test!$B$4),OR(Test!$B$5="Hepsi",$C6=Test!$B$5)),1,0))</f>
        <v>1</v>
      </c>
      <c r="K6" s="10" t="n">
        <f aca="true">IF($J6=1,RAND(),-1)</f>
        <v>0.868923679808951</v>
      </c>
      <c r="L6" s="10" t="n">
        <f aca="false">IF($J6=1,RANK($K6,$K$2:$K$1001),"")</f>
        <v>35</v>
      </c>
    </row>
    <row r="7" customFormat="false" ht="15" hidden="false" customHeight="false" outlineLevel="0" collapsed="false">
      <c r="A7" s="12" t="n">
        <v>6</v>
      </c>
      <c r="B7" s="12" t="s">
        <v>26</v>
      </c>
      <c r="C7" s="12" t="s">
        <v>27</v>
      </c>
      <c r="D7" s="11" t="s">
        <v>51</v>
      </c>
      <c r="E7" s="12" t="s">
        <v>52</v>
      </c>
      <c r="F7" s="12" t="s">
        <v>53</v>
      </c>
      <c r="G7" s="12" t="s">
        <v>54</v>
      </c>
      <c r="H7" s="12" t="s">
        <v>55</v>
      </c>
      <c r="I7" s="12" t="s">
        <v>21</v>
      </c>
      <c r="J7" s="10" t="n">
        <f aca="false">IF($D7="",0,IF(AND(OR(Test!$B$4="Hepsi",$B7=Test!$B$4),OR(Test!$B$5="Hepsi",$C7=Test!$B$5)),1,0))</f>
        <v>1</v>
      </c>
      <c r="K7" s="10" t="n">
        <f aca="true">IF($J7=1,RAND(),-1)</f>
        <v>0.0283675435125936</v>
      </c>
      <c r="L7" s="10" t="n">
        <f aca="false">IF($J7=1,RANK($K7,$K$2:$K$1001),"")</f>
        <v>221</v>
      </c>
    </row>
    <row r="8" customFormat="false" ht="15" hidden="false" customHeight="false" outlineLevel="0" collapsed="false">
      <c r="A8" s="12" t="n">
        <v>7</v>
      </c>
      <c r="B8" s="12" t="s">
        <v>26</v>
      </c>
      <c r="C8" s="12" t="s">
        <v>27</v>
      </c>
      <c r="D8" s="11" t="s">
        <v>56</v>
      </c>
      <c r="E8" s="12" t="s">
        <v>57</v>
      </c>
      <c r="F8" s="12" t="s">
        <v>58</v>
      </c>
      <c r="G8" s="12" t="s">
        <v>59</v>
      </c>
      <c r="H8" s="12" t="s">
        <v>60</v>
      </c>
      <c r="I8" s="12" t="s">
        <v>18</v>
      </c>
      <c r="J8" s="10" t="n">
        <f aca="false">IF($D8="",0,IF(AND(OR(Test!$B$4="Hepsi",$B8=Test!$B$4),OR(Test!$B$5="Hepsi",$C8=Test!$B$5)),1,0))</f>
        <v>1</v>
      </c>
      <c r="K8" s="10" t="n">
        <f aca="true">IF($J8=1,RAND(),-1)</f>
        <v>0.999634046901793</v>
      </c>
      <c r="L8" s="10" t="n">
        <f aca="false">IF($J8=1,RANK($K8,$K$2:$K$1001),"")</f>
        <v>2</v>
      </c>
    </row>
    <row r="9" customFormat="false" ht="15" hidden="false" customHeight="false" outlineLevel="0" collapsed="false">
      <c r="A9" s="12" t="n">
        <v>8</v>
      </c>
      <c r="B9" s="12" t="s">
        <v>26</v>
      </c>
      <c r="C9" s="12" t="s">
        <v>27</v>
      </c>
      <c r="D9" s="11" t="s">
        <v>61</v>
      </c>
      <c r="E9" s="12" t="s">
        <v>62</v>
      </c>
      <c r="F9" s="12" t="s">
        <v>63</v>
      </c>
      <c r="G9" s="12" t="s">
        <v>42</v>
      </c>
      <c r="H9" s="12" t="s">
        <v>64</v>
      </c>
      <c r="I9" s="12" t="s">
        <v>19</v>
      </c>
      <c r="J9" s="10" t="n">
        <f aca="false">IF($D9="",0,IF(AND(OR(Test!$B$4="Hepsi",$B9=Test!$B$4),OR(Test!$B$5="Hepsi",$C9=Test!$B$5)),1,0))</f>
        <v>1</v>
      </c>
      <c r="K9" s="10" t="n">
        <f aca="true">IF($J9=1,RAND(),-1)</f>
        <v>0.353863187978133</v>
      </c>
      <c r="L9" s="10" t="n">
        <f aca="false">IF($J9=1,RANK($K9,$K$2:$K$1001),"")</f>
        <v>155</v>
      </c>
    </row>
    <row r="10" customFormat="false" ht="15" hidden="false" customHeight="false" outlineLevel="0" collapsed="false">
      <c r="A10" s="12" t="n">
        <v>9</v>
      </c>
      <c r="B10" s="12" t="s">
        <v>26</v>
      </c>
      <c r="C10" s="12" t="s">
        <v>27</v>
      </c>
      <c r="D10" s="11" t="s">
        <v>65</v>
      </c>
      <c r="E10" s="12" t="s">
        <v>66</v>
      </c>
      <c r="F10" s="12" t="s">
        <v>40</v>
      </c>
      <c r="G10" s="12" t="s">
        <v>67</v>
      </c>
      <c r="H10" s="12" t="s">
        <v>68</v>
      </c>
      <c r="I10" s="12" t="s">
        <v>21</v>
      </c>
      <c r="J10" s="10" t="n">
        <f aca="false">IF($D10="",0,IF(AND(OR(Test!$B$4="Hepsi",$B10=Test!$B$4),OR(Test!$B$5="Hepsi",$C10=Test!$B$5)),1,0))</f>
        <v>1</v>
      </c>
      <c r="K10" s="10" t="n">
        <f aca="true">IF($J10=1,RAND(),-1)</f>
        <v>0.941179663664032</v>
      </c>
      <c r="L10" s="10" t="n">
        <f aca="false">IF($J10=1,RANK($K10,$K$2:$K$1001),"")</f>
        <v>21</v>
      </c>
    </row>
    <row r="11" customFormat="false" ht="15" hidden="false" customHeight="false" outlineLevel="0" collapsed="false">
      <c r="A11" s="12" t="n">
        <v>10</v>
      </c>
      <c r="B11" s="12" t="s">
        <v>26</v>
      </c>
      <c r="C11" s="12" t="s">
        <v>27</v>
      </c>
      <c r="D11" s="11" t="s">
        <v>69</v>
      </c>
      <c r="E11" s="12" t="s">
        <v>70</v>
      </c>
      <c r="F11" s="12" t="s">
        <v>71</v>
      </c>
      <c r="G11" s="12" t="s">
        <v>39</v>
      </c>
      <c r="H11" s="12" t="s">
        <v>72</v>
      </c>
      <c r="I11" s="12" t="s">
        <v>18</v>
      </c>
      <c r="J11" s="10" t="n">
        <f aca="false">IF($D11="",0,IF(AND(OR(Test!$B$4="Hepsi",$B11=Test!$B$4),OR(Test!$B$5="Hepsi",$C11=Test!$B$5)),1,0))</f>
        <v>1</v>
      </c>
      <c r="K11" s="10" t="n">
        <f aca="true">IF($J11=1,RAND(),-1)</f>
        <v>0.316302629889705</v>
      </c>
      <c r="L11" s="10" t="n">
        <f aca="false">IF($J11=1,RANK($K11,$K$2:$K$1001),"")</f>
        <v>163</v>
      </c>
    </row>
    <row r="12" customFormat="false" ht="15" hidden="false" customHeight="false" outlineLevel="0" collapsed="false">
      <c r="A12" s="12" t="n">
        <v>11</v>
      </c>
      <c r="B12" s="12" t="s">
        <v>26</v>
      </c>
      <c r="C12" s="12" t="s">
        <v>27</v>
      </c>
      <c r="D12" s="11" t="s">
        <v>73</v>
      </c>
      <c r="E12" s="12" t="s">
        <v>74</v>
      </c>
      <c r="F12" s="12" t="s">
        <v>75</v>
      </c>
      <c r="G12" s="12" t="s">
        <v>76</v>
      </c>
      <c r="H12" s="12" t="s">
        <v>77</v>
      </c>
      <c r="I12" s="12" t="s">
        <v>18</v>
      </c>
      <c r="J12" s="10" t="n">
        <f aca="false">IF($D12="",0,IF(AND(OR(Test!$B$4="Hepsi",$B12=Test!$B$4),OR(Test!$B$5="Hepsi",$C12=Test!$B$5)),1,0))</f>
        <v>1</v>
      </c>
      <c r="K12" s="10" t="n">
        <f aca="true">IF($J12=1,RAND(),-1)</f>
        <v>0.146854722041688</v>
      </c>
      <c r="L12" s="10" t="n">
        <f aca="false">IF($J12=1,RANK($K12,$K$2:$K$1001),"")</f>
        <v>195</v>
      </c>
    </row>
    <row r="13" customFormat="false" ht="15" hidden="false" customHeight="false" outlineLevel="0" collapsed="false">
      <c r="A13" s="12" t="n">
        <v>12</v>
      </c>
      <c r="B13" s="12" t="s">
        <v>26</v>
      </c>
      <c r="C13" s="12" t="s">
        <v>27</v>
      </c>
      <c r="D13" s="11" t="s">
        <v>78</v>
      </c>
      <c r="E13" s="12" t="s">
        <v>79</v>
      </c>
      <c r="F13" s="12" t="s">
        <v>80</v>
      </c>
      <c r="G13" s="12" t="s">
        <v>75</v>
      </c>
      <c r="H13" s="12" t="s">
        <v>81</v>
      </c>
      <c r="I13" s="12" t="s">
        <v>18</v>
      </c>
      <c r="J13" s="10" t="n">
        <f aca="false">IF($D13="",0,IF(AND(OR(Test!$B$4="Hepsi",$B13=Test!$B$4),OR(Test!$B$5="Hepsi",$C13=Test!$B$5)),1,0))</f>
        <v>1</v>
      </c>
      <c r="K13" s="10" t="n">
        <f aca="true">IF($J13=1,RAND(),-1)</f>
        <v>0.31813579023357</v>
      </c>
      <c r="L13" s="10" t="n">
        <f aca="false">IF($J13=1,RANK($K13,$K$2:$K$1001),"")</f>
        <v>162</v>
      </c>
    </row>
    <row r="14" customFormat="false" ht="15" hidden="false" customHeight="false" outlineLevel="0" collapsed="false">
      <c r="A14" s="12" t="n">
        <v>13</v>
      </c>
      <c r="B14" s="12" t="s">
        <v>26</v>
      </c>
      <c r="C14" s="12" t="s">
        <v>27</v>
      </c>
      <c r="D14" s="11" t="s">
        <v>82</v>
      </c>
      <c r="E14" s="12" t="s">
        <v>81</v>
      </c>
      <c r="F14" s="12" t="s">
        <v>83</v>
      </c>
      <c r="G14" s="12" t="s">
        <v>84</v>
      </c>
      <c r="H14" s="12" t="s">
        <v>85</v>
      </c>
      <c r="I14" s="12" t="s">
        <v>19</v>
      </c>
      <c r="J14" s="10" t="n">
        <f aca="false">IF($D14="",0,IF(AND(OR(Test!$B$4="Hepsi",$B14=Test!$B$4),OR(Test!$B$5="Hepsi",$C14=Test!$B$5)),1,0))</f>
        <v>1</v>
      </c>
      <c r="K14" s="10" t="n">
        <f aca="true">IF($J14=1,RAND(),-1)</f>
        <v>0.396125657932773</v>
      </c>
      <c r="L14" s="10" t="n">
        <f aca="false">IF($J14=1,RANK($K14,$K$2:$K$1001),"")</f>
        <v>149</v>
      </c>
    </row>
    <row r="15" customFormat="false" ht="15" hidden="false" customHeight="false" outlineLevel="0" collapsed="false">
      <c r="A15" s="12" t="n">
        <v>14</v>
      </c>
      <c r="B15" s="12" t="s">
        <v>26</v>
      </c>
      <c r="C15" s="12" t="s">
        <v>27</v>
      </c>
      <c r="D15" s="11" t="s">
        <v>86</v>
      </c>
      <c r="E15" s="12" t="s">
        <v>87</v>
      </c>
      <c r="F15" s="12" t="s">
        <v>88</v>
      </c>
      <c r="G15" s="12" t="s">
        <v>89</v>
      </c>
      <c r="H15" s="12" t="s">
        <v>90</v>
      </c>
      <c r="I15" s="12" t="s">
        <v>18</v>
      </c>
      <c r="J15" s="10" t="n">
        <f aca="false">IF($D15="",0,IF(AND(OR(Test!$B$4="Hepsi",$B15=Test!$B$4),OR(Test!$B$5="Hepsi",$C15=Test!$B$5)),1,0))</f>
        <v>1</v>
      </c>
      <c r="K15" s="10" t="n">
        <f aca="true">IF($J15=1,RAND(),-1)</f>
        <v>0.35035549198795</v>
      </c>
      <c r="L15" s="10" t="n">
        <f aca="false">IF($J15=1,RANK($K15,$K$2:$K$1001),"")</f>
        <v>156</v>
      </c>
    </row>
    <row r="16" customFormat="false" ht="15" hidden="false" customHeight="false" outlineLevel="0" collapsed="false">
      <c r="A16" s="12" t="n">
        <v>15</v>
      </c>
      <c r="B16" s="12" t="s">
        <v>26</v>
      </c>
      <c r="C16" s="12" t="s">
        <v>27</v>
      </c>
      <c r="D16" s="11" t="s">
        <v>91</v>
      </c>
      <c r="E16" s="12" t="s">
        <v>92</v>
      </c>
      <c r="F16" s="12" t="s">
        <v>93</v>
      </c>
      <c r="G16" s="12" t="s">
        <v>94</v>
      </c>
      <c r="H16" s="12" t="s">
        <v>95</v>
      </c>
      <c r="I16" s="12" t="s">
        <v>18</v>
      </c>
      <c r="J16" s="10" t="n">
        <f aca="false">IF($D16="",0,IF(AND(OR(Test!$B$4="Hepsi",$B16=Test!$B$4),OR(Test!$B$5="Hepsi",$C16=Test!$B$5)),1,0))</f>
        <v>1</v>
      </c>
      <c r="K16" s="10" t="n">
        <f aca="true">IF($J16=1,RAND(),-1)</f>
        <v>0.220307498844939</v>
      </c>
      <c r="L16" s="10" t="n">
        <f aca="false">IF($J16=1,RANK($K16,$K$2:$K$1001),"")</f>
        <v>184</v>
      </c>
    </row>
    <row r="17" customFormat="false" ht="15" hidden="false" customHeight="false" outlineLevel="0" collapsed="false">
      <c r="A17" s="12" t="n">
        <v>16</v>
      </c>
      <c r="B17" s="12" t="s">
        <v>26</v>
      </c>
      <c r="C17" s="12" t="s">
        <v>27</v>
      </c>
      <c r="D17" s="11" t="s">
        <v>96</v>
      </c>
      <c r="E17" s="12" t="s">
        <v>97</v>
      </c>
      <c r="F17" s="12" t="s">
        <v>98</v>
      </c>
      <c r="G17" s="12" t="s">
        <v>99</v>
      </c>
      <c r="H17" s="12" t="s">
        <v>100</v>
      </c>
      <c r="I17" s="12" t="s">
        <v>21</v>
      </c>
      <c r="J17" s="10" t="n">
        <f aca="false">IF($D17="",0,IF(AND(OR(Test!$B$4="Hepsi",$B17=Test!$B$4),OR(Test!$B$5="Hepsi",$C17=Test!$B$5)),1,0))</f>
        <v>1</v>
      </c>
      <c r="K17" s="10" t="n">
        <f aca="true">IF($J17=1,RAND(),-1)</f>
        <v>0.792532760650073</v>
      </c>
      <c r="L17" s="10" t="n">
        <f aca="false">IF($J17=1,RANK($K17,$K$2:$K$1001),"")</f>
        <v>57</v>
      </c>
    </row>
    <row r="18" customFormat="false" ht="15" hidden="false" customHeight="false" outlineLevel="0" collapsed="false">
      <c r="A18" s="12" t="n">
        <v>17</v>
      </c>
      <c r="B18" s="12" t="s">
        <v>26</v>
      </c>
      <c r="C18" s="12" t="s">
        <v>27</v>
      </c>
      <c r="D18" s="11" t="s">
        <v>101</v>
      </c>
      <c r="E18" s="12" t="s">
        <v>102</v>
      </c>
      <c r="F18" s="12" t="s">
        <v>103</v>
      </c>
      <c r="G18" s="12" t="s">
        <v>104</v>
      </c>
      <c r="H18" s="12" t="s">
        <v>105</v>
      </c>
      <c r="I18" s="12" t="s">
        <v>21</v>
      </c>
      <c r="J18" s="10" t="n">
        <f aca="false">IF($D18="",0,IF(AND(OR(Test!$B$4="Hepsi",$B18=Test!$B$4),OR(Test!$B$5="Hepsi",$C18=Test!$B$5)),1,0))</f>
        <v>1</v>
      </c>
      <c r="K18" s="10" t="n">
        <f aca="true">IF($J18=1,RAND(),-1)</f>
        <v>0.742026833599792</v>
      </c>
      <c r="L18" s="10" t="n">
        <f aca="false">IF($J18=1,RANK($K18,$K$2:$K$1001),"")</f>
        <v>67</v>
      </c>
    </row>
    <row r="19" customFormat="false" ht="15" hidden="false" customHeight="false" outlineLevel="0" collapsed="false">
      <c r="A19" s="12" t="n">
        <v>18</v>
      </c>
      <c r="B19" s="12" t="s">
        <v>26</v>
      </c>
      <c r="C19" s="12" t="s">
        <v>27</v>
      </c>
      <c r="D19" s="11" t="s">
        <v>106</v>
      </c>
      <c r="E19" s="12" t="s">
        <v>107</v>
      </c>
      <c r="F19" s="12" t="s">
        <v>108</v>
      </c>
      <c r="G19" s="12" t="s">
        <v>109</v>
      </c>
      <c r="H19" s="12" t="s">
        <v>110</v>
      </c>
      <c r="I19" s="12" t="s">
        <v>19</v>
      </c>
      <c r="J19" s="10" t="n">
        <f aca="false">IF($D19="",0,IF(AND(OR(Test!$B$4="Hepsi",$B19=Test!$B$4),OR(Test!$B$5="Hepsi",$C19=Test!$B$5)),1,0))</f>
        <v>1</v>
      </c>
      <c r="K19" s="10" t="n">
        <f aca="true">IF($J19=1,RAND(),-1)</f>
        <v>0.0545691977933067</v>
      </c>
      <c r="L19" s="10" t="n">
        <f aca="false">IF($J19=1,RANK($K19,$K$2:$K$1001),"")</f>
        <v>213</v>
      </c>
    </row>
    <row r="20" customFormat="false" ht="15" hidden="false" customHeight="false" outlineLevel="0" collapsed="false">
      <c r="A20" s="12" t="n">
        <v>19</v>
      </c>
      <c r="B20" s="12" t="s">
        <v>26</v>
      </c>
      <c r="C20" s="12" t="s">
        <v>27</v>
      </c>
      <c r="D20" s="11" t="s">
        <v>111</v>
      </c>
      <c r="E20" s="12" t="s">
        <v>112</v>
      </c>
      <c r="F20" s="12" t="s">
        <v>80</v>
      </c>
      <c r="G20" s="12" t="s">
        <v>77</v>
      </c>
      <c r="H20" s="12" t="s">
        <v>113</v>
      </c>
      <c r="I20" s="12" t="s">
        <v>18</v>
      </c>
      <c r="J20" s="10" t="n">
        <f aca="false">IF($D20="",0,IF(AND(OR(Test!$B$4="Hepsi",$B20=Test!$B$4),OR(Test!$B$5="Hepsi",$C20=Test!$B$5)),1,0))</f>
        <v>1</v>
      </c>
      <c r="K20" s="10" t="n">
        <f aca="true">IF($J20=1,RAND(),-1)</f>
        <v>0.606779866493235</v>
      </c>
      <c r="L20" s="10" t="n">
        <f aca="false">IF($J20=1,RANK($K20,$K$2:$K$1001),"")</f>
        <v>97</v>
      </c>
    </row>
    <row r="21" customFormat="false" ht="15" hidden="false" customHeight="false" outlineLevel="0" collapsed="false">
      <c r="A21" s="12" t="n">
        <v>20</v>
      </c>
      <c r="B21" s="12" t="s">
        <v>26</v>
      </c>
      <c r="C21" s="12" t="s">
        <v>27</v>
      </c>
      <c r="D21" s="11" t="s">
        <v>114</v>
      </c>
      <c r="E21" s="12" t="s">
        <v>38</v>
      </c>
      <c r="F21" s="12" t="s">
        <v>80</v>
      </c>
      <c r="G21" s="12" t="s">
        <v>115</v>
      </c>
      <c r="H21" s="12" t="s">
        <v>116</v>
      </c>
      <c r="I21" s="12" t="s">
        <v>21</v>
      </c>
      <c r="J21" s="10" t="n">
        <f aca="false">IF($D21="",0,IF(AND(OR(Test!$B$4="Hepsi",$B21=Test!$B$4),OR(Test!$B$5="Hepsi",$C21=Test!$B$5)),1,0))</f>
        <v>1</v>
      </c>
      <c r="K21" s="10" t="n">
        <f aca="true">IF($J21=1,RAND(),-1)</f>
        <v>0.758069521944036</v>
      </c>
      <c r="L21" s="10" t="n">
        <f aca="false">IF($J21=1,RANK($K21,$K$2:$K$1001),"")</f>
        <v>63</v>
      </c>
    </row>
    <row r="22" customFormat="false" ht="15" hidden="false" customHeight="false" outlineLevel="0" collapsed="false">
      <c r="A22" s="12" t="n">
        <v>21</v>
      </c>
      <c r="B22" s="12" t="s">
        <v>26</v>
      </c>
      <c r="C22" s="12" t="s">
        <v>27</v>
      </c>
      <c r="D22" s="11" t="s">
        <v>117</v>
      </c>
      <c r="E22" s="12" t="s">
        <v>118</v>
      </c>
      <c r="F22" s="12" t="s">
        <v>119</v>
      </c>
      <c r="G22" s="12" t="s">
        <v>85</v>
      </c>
      <c r="H22" s="12" t="s">
        <v>120</v>
      </c>
      <c r="I22" s="12" t="s">
        <v>21</v>
      </c>
      <c r="J22" s="10" t="n">
        <f aca="false">IF($D22="",0,IF(AND(OR(Test!$B$4="Hepsi",$B22=Test!$B$4),OR(Test!$B$5="Hepsi",$C22=Test!$B$5)),1,0))</f>
        <v>1</v>
      </c>
      <c r="K22" s="10" t="n">
        <f aca="true">IF($J22=1,RAND(),-1)</f>
        <v>0.097479103659455</v>
      </c>
      <c r="L22" s="10" t="n">
        <f aca="false">IF($J22=1,RANK($K22,$K$2:$K$1001),"")</f>
        <v>204</v>
      </c>
    </row>
    <row r="23" customFormat="false" ht="15" hidden="false" customHeight="false" outlineLevel="0" collapsed="false">
      <c r="A23" s="12" t="n">
        <v>22</v>
      </c>
      <c r="B23" s="12" t="s">
        <v>26</v>
      </c>
      <c r="C23" s="12" t="s">
        <v>27</v>
      </c>
      <c r="D23" s="11" t="s">
        <v>121</v>
      </c>
      <c r="E23" s="12" t="s">
        <v>88</v>
      </c>
      <c r="F23" s="12" t="s">
        <v>122</v>
      </c>
      <c r="G23" s="12" t="s">
        <v>123</v>
      </c>
      <c r="H23" s="12" t="s">
        <v>124</v>
      </c>
      <c r="I23" s="12" t="s">
        <v>21</v>
      </c>
      <c r="J23" s="10" t="n">
        <f aca="false">IF($D23="",0,IF(AND(OR(Test!$B$4="Hepsi",$B23=Test!$B$4),OR(Test!$B$5="Hepsi",$C23=Test!$B$5)),1,0))</f>
        <v>1</v>
      </c>
      <c r="K23" s="10" t="n">
        <f aca="true">IF($J23=1,RAND(),-1)</f>
        <v>0.621714421198653</v>
      </c>
      <c r="L23" s="10" t="n">
        <f aca="false">IF($J23=1,RANK($K23,$K$2:$K$1001),"")</f>
        <v>94</v>
      </c>
    </row>
    <row r="24" customFormat="false" ht="26.85" hidden="false" customHeight="false" outlineLevel="0" collapsed="false">
      <c r="A24" s="12" t="n">
        <v>23</v>
      </c>
      <c r="B24" s="12" t="s">
        <v>26</v>
      </c>
      <c r="C24" s="12" t="s">
        <v>27</v>
      </c>
      <c r="D24" s="11" t="s">
        <v>125</v>
      </c>
      <c r="E24" s="12" t="s">
        <v>93</v>
      </c>
      <c r="F24" s="12" t="s">
        <v>126</v>
      </c>
      <c r="G24" s="12" t="s">
        <v>127</v>
      </c>
      <c r="H24" s="12" t="s">
        <v>128</v>
      </c>
      <c r="I24" s="12" t="s">
        <v>20</v>
      </c>
      <c r="J24" s="10" t="n">
        <f aca="false">IF($D24="",0,IF(AND(OR(Test!$B$4="Hepsi",$B24=Test!$B$4),OR(Test!$B$5="Hepsi",$C24=Test!$B$5)),1,0))</f>
        <v>1</v>
      </c>
      <c r="K24" s="10" t="n">
        <f aca="true">IF($J24=1,RAND(),-1)</f>
        <v>0.981790367842763</v>
      </c>
      <c r="L24" s="10" t="n">
        <f aca="false">IF($J24=1,RANK($K24,$K$2:$K$1001),"")</f>
        <v>7</v>
      </c>
    </row>
    <row r="25" customFormat="false" ht="26.85" hidden="false" customHeight="false" outlineLevel="0" collapsed="false">
      <c r="A25" s="12" t="n">
        <v>24</v>
      </c>
      <c r="B25" s="12" t="s">
        <v>26</v>
      </c>
      <c r="C25" s="12" t="s">
        <v>27</v>
      </c>
      <c r="D25" s="11" t="s">
        <v>129</v>
      </c>
      <c r="E25" s="12" t="s">
        <v>99</v>
      </c>
      <c r="F25" s="12" t="s">
        <v>130</v>
      </c>
      <c r="G25" s="12" t="s">
        <v>131</v>
      </c>
      <c r="H25" s="12" t="s">
        <v>132</v>
      </c>
      <c r="I25" s="12" t="s">
        <v>20</v>
      </c>
      <c r="J25" s="10" t="n">
        <f aca="false">IF($D25="",0,IF(AND(OR(Test!$B$4="Hepsi",$B25=Test!$B$4),OR(Test!$B$5="Hepsi",$C25=Test!$B$5)),1,0))</f>
        <v>1</v>
      </c>
      <c r="K25" s="10" t="n">
        <f aca="true">IF($J25=1,RAND(),-1)</f>
        <v>0.902143084310058</v>
      </c>
      <c r="L25" s="10" t="n">
        <f aca="false">IF($J25=1,RANK($K25,$K$2:$K$1001),"")</f>
        <v>27</v>
      </c>
    </row>
    <row r="26" customFormat="false" ht="26.85" hidden="false" customHeight="false" outlineLevel="0" collapsed="false">
      <c r="A26" s="12" t="n">
        <v>25</v>
      </c>
      <c r="B26" s="12" t="s">
        <v>26</v>
      </c>
      <c r="C26" s="12" t="s">
        <v>27</v>
      </c>
      <c r="D26" s="11" t="s">
        <v>133</v>
      </c>
      <c r="E26" s="12" t="s">
        <v>134</v>
      </c>
      <c r="F26" s="12" t="s">
        <v>104</v>
      </c>
      <c r="G26" s="12" t="s">
        <v>135</v>
      </c>
      <c r="H26" s="12" t="s">
        <v>136</v>
      </c>
      <c r="I26" s="12" t="s">
        <v>21</v>
      </c>
      <c r="J26" s="10" t="n">
        <f aca="false">IF($D26="",0,IF(AND(OR(Test!$B$4="Hepsi",$B26=Test!$B$4),OR(Test!$B$5="Hepsi",$C26=Test!$B$5)),1,0))</f>
        <v>1</v>
      </c>
      <c r="K26" s="10" t="n">
        <f aca="true">IF($J26=1,RAND(),-1)</f>
        <v>0.226134123656925</v>
      </c>
      <c r="L26" s="10" t="n">
        <f aca="false">IF($J26=1,RANK($K26,$K$2:$K$1001),"")</f>
        <v>181</v>
      </c>
    </row>
    <row r="27" customFormat="false" ht="26.85" hidden="false" customHeight="false" outlineLevel="0" collapsed="false">
      <c r="A27" s="12" t="n">
        <v>26</v>
      </c>
      <c r="B27" s="12" t="s">
        <v>26</v>
      </c>
      <c r="C27" s="12" t="s">
        <v>27</v>
      </c>
      <c r="D27" s="11" t="s">
        <v>137</v>
      </c>
      <c r="E27" s="12" t="s">
        <v>138</v>
      </c>
      <c r="F27" s="12" t="s">
        <v>109</v>
      </c>
      <c r="G27" s="12" t="s">
        <v>139</v>
      </c>
      <c r="H27" s="12" t="s">
        <v>140</v>
      </c>
      <c r="I27" s="12" t="s">
        <v>18</v>
      </c>
      <c r="J27" s="10" t="n">
        <f aca="false">IF($D27="",0,IF(AND(OR(Test!$B$4="Hepsi",$B27=Test!$B$4),OR(Test!$B$5="Hepsi",$C27=Test!$B$5)),1,0))</f>
        <v>1</v>
      </c>
      <c r="K27" s="10" t="n">
        <f aca="true">IF($J27=1,RAND(),-1)</f>
        <v>0.722689264659609</v>
      </c>
      <c r="L27" s="10" t="n">
        <f aca="false">IF($J27=1,RANK($K27,$K$2:$K$1001),"")</f>
        <v>71</v>
      </c>
    </row>
    <row r="28" customFormat="false" ht="15" hidden="false" customHeight="false" outlineLevel="0" collapsed="false">
      <c r="A28" s="12" t="n">
        <v>27</v>
      </c>
      <c r="B28" s="12" t="s">
        <v>26</v>
      </c>
      <c r="C28" s="12" t="s">
        <v>141</v>
      </c>
      <c r="D28" s="11" t="s">
        <v>142</v>
      </c>
      <c r="E28" s="12" t="s">
        <v>29</v>
      </c>
      <c r="F28" s="12" t="s">
        <v>30</v>
      </c>
      <c r="G28" s="12" t="s">
        <v>31</v>
      </c>
      <c r="H28" s="12" t="s">
        <v>32</v>
      </c>
      <c r="I28" s="12" t="s">
        <v>20</v>
      </c>
      <c r="J28" s="10" t="n">
        <f aca="false">IF($D28="",0,IF(AND(OR(Test!$B$4="Hepsi",$B28=Test!$B$4),OR(Test!$B$5="Hepsi",$C28=Test!$B$5)),1,0))</f>
        <v>1</v>
      </c>
      <c r="K28" s="10" t="n">
        <f aca="true">IF($J28=1,RAND(),-1)</f>
        <v>0.344365759983099</v>
      </c>
      <c r="L28" s="10" t="n">
        <f aca="false">IF($J28=1,RANK($K28,$K$2:$K$1001),"")</f>
        <v>157</v>
      </c>
    </row>
    <row r="29" customFormat="false" ht="15" hidden="false" customHeight="false" outlineLevel="0" collapsed="false">
      <c r="A29" s="12" t="n">
        <v>28</v>
      </c>
      <c r="B29" s="12" t="s">
        <v>26</v>
      </c>
      <c r="C29" s="12" t="s">
        <v>141</v>
      </c>
      <c r="D29" s="11" t="s">
        <v>143</v>
      </c>
      <c r="E29" s="12" t="s">
        <v>144</v>
      </c>
      <c r="F29" s="12" t="s">
        <v>29</v>
      </c>
      <c r="G29" s="12" t="s">
        <v>31</v>
      </c>
      <c r="H29" s="12" t="s">
        <v>32</v>
      </c>
      <c r="I29" s="12" t="s">
        <v>21</v>
      </c>
      <c r="J29" s="10" t="n">
        <f aca="false">IF($D29="",0,IF(AND(OR(Test!$B$4="Hepsi",$B29=Test!$B$4),OR(Test!$B$5="Hepsi",$C29=Test!$B$5)),1,0))</f>
        <v>1</v>
      </c>
      <c r="K29" s="10" t="n">
        <f aca="true">IF($J29=1,RAND(),-1)</f>
        <v>0.909128990003166</v>
      </c>
      <c r="L29" s="10" t="n">
        <f aca="false">IF($J29=1,RANK($K29,$K$2:$K$1001),"")</f>
        <v>25</v>
      </c>
    </row>
    <row r="30" customFormat="false" ht="15" hidden="false" customHeight="false" outlineLevel="0" collapsed="false">
      <c r="A30" s="12" t="n">
        <v>29</v>
      </c>
      <c r="B30" s="12" t="s">
        <v>26</v>
      </c>
      <c r="C30" s="12" t="s">
        <v>141</v>
      </c>
      <c r="D30" s="11" t="s">
        <v>145</v>
      </c>
      <c r="E30" s="12" t="s">
        <v>144</v>
      </c>
      <c r="F30" s="12" t="s">
        <v>32</v>
      </c>
      <c r="G30" s="12" t="s">
        <v>29</v>
      </c>
      <c r="H30" s="12" t="s">
        <v>34</v>
      </c>
      <c r="I30" s="12" t="s">
        <v>20</v>
      </c>
      <c r="J30" s="10" t="n">
        <f aca="false">IF($D30="",0,IF(AND(OR(Test!$B$4="Hepsi",$B30=Test!$B$4),OR(Test!$B$5="Hepsi",$C30=Test!$B$5)),1,0))</f>
        <v>1</v>
      </c>
      <c r="K30" s="10" t="n">
        <f aca="true">IF($J30=1,RAND(),-1)</f>
        <v>0.900243355202201</v>
      </c>
      <c r="L30" s="10" t="n">
        <f aca="false">IF($J30=1,RANK($K30,$K$2:$K$1001),"")</f>
        <v>28</v>
      </c>
    </row>
    <row r="31" customFormat="false" ht="15" hidden="false" customHeight="false" outlineLevel="0" collapsed="false">
      <c r="A31" s="12" t="n">
        <v>30</v>
      </c>
      <c r="B31" s="12" t="s">
        <v>26</v>
      </c>
      <c r="C31" s="12" t="s">
        <v>141</v>
      </c>
      <c r="D31" s="11" t="s">
        <v>146</v>
      </c>
      <c r="E31" s="12" t="s">
        <v>34</v>
      </c>
      <c r="F31" s="12" t="s">
        <v>29</v>
      </c>
      <c r="G31" s="12" t="s">
        <v>147</v>
      </c>
      <c r="H31" s="12" t="s">
        <v>144</v>
      </c>
      <c r="I31" s="12" t="s">
        <v>21</v>
      </c>
      <c r="J31" s="10" t="n">
        <f aca="false">IF($D31="",0,IF(AND(OR(Test!$B$4="Hepsi",$B31=Test!$B$4),OR(Test!$B$5="Hepsi",$C31=Test!$B$5)),1,0))</f>
        <v>1</v>
      </c>
      <c r="K31" s="10" t="n">
        <f aca="true">IF($J31=1,RAND(),-1)</f>
        <v>0.640763855247545</v>
      </c>
      <c r="L31" s="10" t="n">
        <f aca="false">IF($J31=1,RANK($K31,$K$2:$K$1001),"")</f>
        <v>90</v>
      </c>
    </row>
    <row r="32" customFormat="false" ht="15" hidden="false" customHeight="false" outlineLevel="0" collapsed="false">
      <c r="A32" s="12" t="n">
        <v>31</v>
      </c>
      <c r="B32" s="12" t="s">
        <v>26</v>
      </c>
      <c r="C32" s="12" t="s">
        <v>141</v>
      </c>
      <c r="D32" s="11" t="s">
        <v>148</v>
      </c>
      <c r="E32" s="12" t="s">
        <v>144</v>
      </c>
      <c r="F32" s="12" t="s">
        <v>147</v>
      </c>
      <c r="G32" s="12" t="s">
        <v>35</v>
      </c>
      <c r="H32" s="12" t="s">
        <v>34</v>
      </c>
      <c r="I32" s="12" t="s">
        <v>21</v>
      </c>
      <c r="J32" s="10" t="n">
        <f aca="false">IF($D32="",0,IF(AND(OR(Test!$B$4="Hepsi",$B32=Test!$B$4),OR(Test!$B$5="Hepsi",$C32=Test!$B$5)),1,0))</f>
        <v>1</v>
      </c>
      <c r="K32" s="10" t="n">
        <f aca="true">IF($J32=1,RAND(),-1)</f>
        <v>0.257453052017052</v>
      </c>
      <c r="L32" s="10" t="n">
        <f aca="false">IF($J32=1,RANK($K32,$K$2:$K$1001),"")</f>
        <v>174</v>
      </c>
    </row>
    <row r="33" customFormat="false" ht="15" hidden="false" customHeight="false" outlineLevel="0" collapsed="false">
      <c r="A33" s="12" t="n">
        <v>32</v>
      </c>
      <c r="B33" s="12" t="s">
        <v>26</v>
      </c>
      <c r="C33" s="12" t="s">
        <v>141</v>
      </c>
      <c r="D33" s="11" t="s">
        <v>149</v>
      </c>
      <c r="E33" s="12" t="s">
        <v>35</v>
      </c>
      <c r="F33" s="12" t="s">
        <v>147</v>
      </c>
      <c r="G33" s="12" t="s">
        <v>34</v>
      </c>
      <c r="H33" s="12" t="s">
        <v>38</v>
      </c>
      <c r="I33" s="12" t="s">
        <v>19</v>
      </c>
      <c r="J33" s="10" t="n">
        <f aca="false">IF($D33="",0,IF(AND(OR(Test!$B$4="Hepsi",$B33=Test!$B$4),OR(Test!$B$5="Hepsi",$C33=Test!$B$5)),1,0))</f>
        <v>1</v>
      </c>
      <c r="K33" s="10" t="n">
        <f aca="true">IF($J33=1,RAND(),-1)</f>
        <v>0.481484915811606</v>
      </c>
      <c r="L33" s="10" t="n">
        <f aca="false">IF($J33=1,RANK($K33,$K$2:$K$1001),"")</f>
        <v>122</v>
      </c>
    </row>
    <row r="34" customFormat="false" ht="15" hidden="false" customHeight="false" outlineLevel="0" collapsed="false">
      <c r="A34" s="12" t="n">
        <v>33</v>
      </c>
      <c r="B34" s="12" t="s">
        <v>26</v>
      </c>
      <c r="C34" s="12" t="s">
        <v>141</v>
      </c>
      <c r="D34" s="11" t="s">
        <v>150</v>
      </c>
      <c r="E34" s="12" t="s">
        <v>35</v>
      </c>
      <c r="F34" s="12" t="s">
        <v>36</v>
      </c>
      <c r="G34" s="12" t="s">
        <v>147</v>
      </c>
      <c r="H34" s="12" t="s">
        <v>38</v>
      </c>
      <c r="I34" s="12" t="s">
        <v>18</v>
      </c>
      <c r="J34" s="10" t="n">
        <f aca="false">IF($D34="",0,IF(AND(OR(Test!$B$4="Hepsi",$B34=Test!$B$4),OR(Test!$B$5="Hepsi",$C34=Test!$B$5)),1,0))</f>
        <v>1</v>
      </c>
      <c r="K34" s="10" t="n">
        <f aca="true">IF($J34=1,RAND(),-1)</f>
        <v>0.416940668017262</v>
      </c>
      <c r="L34" s="10" t="n">
        <f aca="false">IF($J34=1,RANK($K34,$K$2:$K$1001),"")</f>
        <v>139</v>
      </c>
    </row>
    <row r="35" customFormat="false" ht="15" hidden="false" customHeight="false" outlineLevel="0" collapsed="false">
      <c r="A35" s="12" t="n">
        <v>34</v>
      </c>
      <c r="B35" s="12" t="s">
        <v>26</v>
      </c>
      <c r="C35" s="12" t="s">
        <v>141</v>
      </c>
      <c r="D35" s="11" t="s">
        <v>151</v>
      </c>
      <c r="E35" s="12" t="s">
        <v>152</v>
      </c>
      <c r="F35" s="12" t="s">
        <v>35</v>
      </c>
      <c r="G35" s="12" t="s">
        <v>36</v>
      </c>
      <c r="H35" s="12" t="s">
        <v>38</v>
      </c>
      <c r="I35" s="12" t="s">
        <v>21</v>
      </c>
      <c r="J35" s="10" t="n">
        <f aca="false">IF($D35="",0,IF(AND(OR(Test!$B$4="Hepsi",$B35=Test!$B$4),OR(Test!$B$5="Hepsi",$C35=Test!$B$5)),1,0))</f>
        <v>1</v>
      </c>
      <c r="K35" s="10" t="n">
        <f aca="true">IF($J35=1,RAND(),-1)</f>
        <v>0.820388828856205</v>
      </c>
      <c r="L35" s="10" t="n">
        <f aca="false">IF($J35=1,RANK($K35,$K$2:$K$1001),"")</f>
        <v>47</v>
      </c>
    </row>
    <row r="36" customFormat="false" ht="15" hidden="false" customHeight="false" outlineLevel="0" collapsed="false">
      <c r="A36" s="12" t="n">
        <v>35</v>
      </c>
      <c r="B36" s="12" t="s">
        <v>26</v>
      </c>
      <c r="C36" s="12" t="s">
        <v>141</v>
      </c>
      <c r="D36" s="11" t="s">
        <v>153</v>
      </c>
      <c r="E36" s="12" t="s">
        <v>44</v>
      </c>
      <c r="F36" s="12" t="s">
        <v>38</v>
      </c>
      <c r="G36" s="12" t="s">
        <v>152</v>
      </c>
      <c r="H36" s="12" t="s">
        <v>36</v>
      </c>
      <c r="I36" s="12" t="s">
        <v>21</v>
      </c>
      <c r="J36" s="10" t="n">
        <f aca="false">IF($D36="",0,IF(AND(OR(Test!$B$4="Hepsi",$B36=Test!$B$4),OR(Test!$B$5="Hepsi",$C36=Test!$B$5)),1,0))</f>
        <v>1</v>
      </c>
      <c r="K36" s="10" t="n">
        <f aca="true">IF($J36=1,RAND(),-1)</f>
        <v>0.553381749169604</v>
      </c>
      <c r="L36" s="10" t="n">
        <f aca="false">IF($J36=1,RANK($K36,$K$2:$K$1001),"")</f>
        <v>108</v>
      </c>
    </row>
    <row r="37" customFormat="false" ht="15" hidden="false" customHeight="false" outlineLevel="0" collapsed="false">
      <c r="A37" s="12" t="n">
        <v>36</v>
      </c>
      <c r="B37" s="12" t="s">
        <v>26</v>
      </c>
      <c r="C37" s="12" t="s">
        <v>141</v>
      </c>
      <c r="D37" s="11" t="s">
        <v>154</v>
      </c>
      <c r="E37" s="12" t="s">
        <v>155</v>
      </c>
      <c r="F37" s="12" t="s">
        <v>44</v>
      </c>
      <c r="G37" s="12" t="s">
        <v>156</v>
      </c>
      <c r="H37" s="12" t="s">
        <v>157</v>
      </c>
      <c r="I37" s="12" t="s">
        <v>21</v>
      </c>
      <c r="J37" s="10" t="n">
        <f aca="false">IF($D37="",0,IF(AND(OR(Test!$B$4="Hepsi",$B37=Test!$B$4),OR(Test!$B$5="Hepsi",$C37=Test!$B$5)),1,0))</f>
        <v>1</v>
      </c>
      <c r="K37" s="10" t="n">
        <f aca="true">IF($J37=1,RAND(),-1)</f>
        <v>0.655876820002614</v>
      </c>
      <c r="L37" s="10" t="n">
        <f aca="false">IF($J37=1,RANK($K37,$K$2:$K$1001),"")</f>
        <v>87</v>
      </c>
    </row>
    <row r="38" customFormat="false" ht="15" hidden="false" customHeight="false" outlineLevel="0" collapsed="false">
      <c r="A38" s="12" t="n">
        <v>37</v>
      </c>
      <c r="B38" s="12" t="s">
        <v>26</v>
      </c>
      <c r="C38" s="12" t="s">
        <v>141</v>
      </c>
      <c r="D38" s="11" t="s">
        <v>158</v>
      </c>
      <c r="E38" s="12" t="s">
        <v>45</v>
      </c>
      <c r="F38" s="12" t="s">
        <v>159</v>
      </c>
      <c r="G38" s="12" t="s">
        <v>160</v>
      </c>
      <c r="H38" s="12" t="s">
        <v>54</v>
      </c>
      <c r="I38" s="12" t="s">
        <v>19</v>
      </c>
      <c r="J38" s="10" t="n">
        <f aca="false">IF($D38="",0,IF(AND(OR(Test!$B$4="Hepsi",$B38=Test!$B$4),OR(Test!$B$5="Hepsi",$C38=Test!$B$5)),1,0))</f>
        <v>1</v>
      </c>
      <c r="K38" s="10" t="n">
        <f aca="true">IF($J38=1,RAND(),-1)</f>
        <v>0.727839815520398</v>
      </c>
      <c r="L38" s="10" t="n">
        <f aca="false">IF($J38=1,RANK($K38,$K$2:$K$1001),"")</f>
        <v>68</v>
      </c>
    </row>
    <row r="39" customFormat="false" ht="15" hidden="false" customHeight="false" outlineLevel="0" collapsed="false">
      <c r="A39" s="12" t="n">
        <v>38</v>
      </c>
      <c r="B39" s="12" t="s">
        <v>26</v>
      </c>
      <c r="C39" s="12" t="s">
        <v>141</v>
      </c>
      <c r="D39" s="11" t="s">
        <v>161</v>
      </c>
      <c r="E39" s="12" t="s">
        <v>162</v>
      </c>
      <c r="F39" s="12" t="s">
        <v>155</v>
      </c>
      <c r="G39" s="12" t="s">
        <v>163</v>
      </c>
      <c r="H39" s="12" t="s">
        <v>164</v>
      </c>
      <c r="I39" s="12" t="s">
        <v>20</v>
      </c>
      <c r="J39" s="10" t="n">
        <f aca="false">IF($D39="",0,IF(AND(OR(Test!$B$4="Hepsi",$B39=Test!$B$4),OR(Test!$B$5="Hepsi",$C39=Test!$B$5)),1,0))</f>
        <v>1</v>
      </c>
      <c r="K39" s="10" t="n">
        <f aca="true">IF($J39=1,RAND(),-1)</f>
        <v>0.477193157601631</v>
      </c>
      <c r="L39" s="10" t="n">
        <f aca="false">IF($J39=1,RANK($K39,$K$2:$K$1001),"")</f>
        <v>125</v>
      </c>
    </row>
    <row r="40" customFormat="false" ht="15" hidden="false" customHeight="false" outlineLevel="0" collapsed="false">
      <c r="A40" s="12" t="n">
        <v>39</v>
      </c>
      <c r="B40" s="12" t="s">
        <v>26</v>
      </c>
      <c r="C40" s="12" t="s">
        <v>141</v>
      </c>
      <c r="D40" s="11" t="s">
        <v>165</v>
      </c>
      <c r="E40" s="12" t="s">
        <v>49</v>
      </c>
      <c r="F40" s="12" t="s">
        <v>164</v>
      </c>
      <c r="G40" s="12" t="s">
        <v>166</v>
      </c>
      <c r="H40" s="12" t="s">
        <v>157</v>
      </c>
      <c r="I40" s="12" t="s">
        <v>20</v>
      </c>
      <c r="J40" s="10" t="n">
        <f aca="false">IF($D40="",0,IF(AND(OR(Test!$B$4="Hepsi",$B40=Test!$B$4),OR(Test!$B$5="Hepsi",$C40=Test!$B$5)),1,0))</f>
        <v>1</v>
      </c>
      <c r="K40" s="10" t="n">
        <f aca="true">IF($J40=1,RAND(),-1)</f>
        <v>0.458217693305363</v>
      </c>
      <c r="L40" s="10" t="n">
        <f aca="false">IF($J40=1,RANK($K40,$K$2:$K$1001),"")</f>
        <v>129</v>
      </c>
    </row>
    <row r="41" customFormat="false" ht="15" hidden="false" customHeight="false" outlineLevel="0" collapsed="false">
      <c r="A41" s="12" t="n">
        <v>40</v>
      </c>
      <c r="B41" s="12" t="s">
        <v>26</v>
      </c>
      <c r="C41" s="12" t="s">
        <v>141</v>
      </c>
      <c r="D41" s="11" t="s">
        <v>167</v>
      </c>
      <c r="E41" s="12" t="s">
        <v>168</v>
      </c>
      <c r="F41" s="12" t="s">
        <v>169</v>
      </c>
      <c r="G41" s="12" t="s">
        <v>49</v>
      </c>
      <c r="H41" s="12" t="s">
        <v>54</v>
      </c>
      <c r="I41" s="12" t="s">
        <v>19</v>
      </c>
      <c r="J41" s="10" t="n">
        <f aca="false">IF($D41="",0,IF(AND(OR(Test!$B$4="Hepsi",$B41=Test!$B$4),OR(Test!$B$5="Hepsi",$C41=Test!$B$5)),1,0))</f>
        <v>1</v>
      </c>
      <c r="K41" s="10" t="n">
        <f aca="true">IF($J41=1,RAND(),-1)</f>
        <v>0.270579327250338</v>
      </c>
      <c r="L41" s="10" t="n">
        <f aca="false">IF($J41=1,RANK($K41,$K$2:$K$1001),"")</f>
        <v>173</v>
      </c>
    </row>
    <row r="42" customFormat="false" ht="15" hidden="false" customHeight="false" outlineLevel="0" collapsed="false">
      <c r="A42" s="12" t="n">
        <v>41</v>
      </c>
      <c r="B42" s="12" t="s">
        <v>26</v>
      </c>
      <c r="C42" s="12" t="s">
        <v>141</v>
      </c>
      <c r="D42" s="11" t="s">
        <v>170</v>
      </c>
      <c r="E42" s="12" t="s">
        <v>171</v>
      </c>
      <c r="F42" s="12" t="s">
        <v>172</v>
      </c>
      <c r="G42" s="12" t="s">
        <v>173</v>
      </c>
      <c r="H42" s="12" t="s">
        <v>174</v>
      </c>
      <c r="I42" s="12" t="s">
        <v>18</v>
      </c>
      <c r="J42" s="10" t="n">
        <f aca="false">IF($D42="",0,IF(AND(OR(Test!$B$4="Hepsi",$B42=Test!$B$4),OR(Test!$B$5="Hepsi",$C42=Test!$B$5)),1,0))</f>
        <v>1</v>
      </c>
      <c r="K42" s="10" t="n">
        <f aca="true">IF($J42=1,RAND(),-1)</f>
        <v>0.257142699906581</v>
      </c>
      <c r="L42" s="10" t="n">
        <f aca="false">IF($J42=1,RANK($K42,$K$2:$K$1001),"")</f>
        <v>175</v>
      </c>
    </row>
    <row r="43" customFormat="false" ht="15" hidden="false" customHeight="false" outlineLevel="0" collapsed="false">
      <c r="A43" s="12" t="n">
        <v>42</v>
      </c>
      <c r="B43" s="12" t="s">
        <v>26</v>
      </c>
      <c r="C43" s="12" t="s">
        <v>141</v>
      </c>
      <c r="D43" s="11" t="s">
        <v>175</v>
      </c>
      <c r="E43" s="12" t="s">
        <v>176</v>
      </c>
      <c r="F43" s="12" t="s">
        <v>160</v>
      </c>
      <c r="G43" s="12" t="s">
        <v>177</v>
      </c>
      <c r="H43" s="12" t="s">
        <v>178</v>
      </c>
      <c r="I43" s="12" t="s">
        <v>20</v>
      </c>
      <c r="J43" s="10" t="n">
        <f aca="false">IF($D43="",0,IF(AND(OR(Test!$B$4="Hepsi",$B43=Test!$B$4),OR(Test!$B$5="Hepsi",$C43=Test!$B$5)),1,0))</f>
        <v>1</v>
      </c>
      <c r="K43" s="10" t="n">
        <f aca="true">IF($J43=1,RAND(),-1)</f>
        <v>0.747941383616858</v>
      </c>
      <c r="L43" s="10" t="n">
        <f aca="false">IF($J43=1,RANK($K43,$K$2:$K$1001),"")</f>
        <v>66</v>
      </c>
    </row>
    <row r="44" customFormat="false" ht="15" hidden="false" customHeight="false" outlineLevel="0" collapsed="false">
      <c r="A44" s="12" t="n">
        <v>43</v>
      </c>
      <c r="B44" s="12" t="s">
        <v>26</v>
      </c>
      <c r="C44" s="12" t="s">
        <v>141</v>
      </c>
      <c r="D44" s="11" t="s">
        <v>179</v>
      </c>
      <c r="E44" s="12" t="s">
        <v>180</v>
      </c>
      <c r="F44" s="12" t="s">
        <v>181</v>
      </c>
      <c r="G44" s="12" t="s">
        <v>59</v>
      </c>
      <c r="H44" s="12" t="s">
        <v>182</v>
      </c>
      <c r="I44" s="12" t="s">
        <v>19</v>
      </c>
      <c r="J44" s="10" t="n">
        <f aca="false">IF($D44="",0,IF(AND(OR(Test!$B$4="Hepsi",$B44=Test!$B$4),OR(Test!$B$5="Hepsi",$C44=Test!$B$5)),1,0))</f>
        <v>1</v>
      </c>
      <c r="K44" s="10" t="n">
        <f aca="true">IF($J44=1,RAND(),-1)</f>
        <v>0.682350550397438</v>
      </c>
      <c r="L44" s="10" t="n">
        <f aca="false">IF($J44=1,RANK($K44,$K$2:$K$1001),"")</f>
        <v>81</v>
      </c>
    </row>
    <row r="45" customFormat="false" ht="15" hidden="false" customHeight="false" outlineLevel="0" collapsed="false">
      <c r="A45" s="12" t="n">
        <v>44</v>
      </c>
      <c r="B45" s="12" t="s">
        <v>26</v>
      </c>
      <c r="C45" s="12" t="s">
        <v>141</v>
      </c>
      <c r="D45" s="11" t="s">
        <v>183</v>
      </c>
      <c r="E45" s="12" t="s">
        <v>184</v>
      </c>
      <c r="F45" s="12" t="s">
        <v>174</v>
      </c>
      <c r="G45" s="12" t="s">
        <v>185</v>
      </c>
      <c r="H45" s="12" t="s">
        <v>186</v>
      </c>
      <c r="I45" s="12" t="s">
        <v>21</v>
      </c>
      <c r="J45" s="10" t="n">
        <f aca="false">IF($D45="",0,IF(AND(OR(Test!$B$4="Hepsi",$B45=Test!$B$4),OR(Test!$B$5="Hepsi",$C45=Test!$B$5)),1,0))</f>
        <v>1</v>
      </c>
      <c r="K45" s="10" t="n">
        <f aca="true">IF($J45=1,RAND(),-1)</f>
        <v>0.957242143566014</v>
      </c>
      <c r="L45" s="10" t="n">
        <f aca="false">IF($J45=1,RANK($K45,$K$2:$K$1001),"")</f>
        <v>13</v>
      </c>
    </row>
    <row r="46" customFormat="false" ht="15" hidden="false" customHeight="false" outlineLevel="0" collapsed="false">
      <c r="A46" s="12" t="n">
        <v>45</v>
      </c>
      <c r="B46" s="12" t="s">
        <v>26</v>
      </c>
      <c r="C46" s="12" t="s">
        <v>141</v>
      </c>
      <c r="D46" s="11" t="s">
        <v>187</v>
      </c>
      <c r="E46" s="12" t="s">
        <v>188</v>
      </c>
      <c r="F46" s="12" t="s">
        <v>62</v>
      </c>
      <c r="G46" s="12" t="s">
        <v>186</v>
      </c>
      <c r="H46" s="12" t="s">
        <v>189</v>
      </c>
      <c r="I46" s="12" t="s">
        <v>20</v>
      </c>
      <c r="J46" s="10" t="n">
        <f aca="false">IF($D46="",0,IF(AND(OR(Test!$B$4="Hepsi",$B46=Test!$B$4),OR(Test!$B$5="Hepsi",$C46=Test!$B$5)),1,0))</f>
        <v>1</v>
      </c>
      <c r="K46" s="10" t="n">
        <f aca="true">IF($J46=1,RAND(),-1)</f>
        <v>0.564191503182607</v>
      </c>
      <c r="L46" s="10" t="n">
        <f aca="false">IF($J46=1,RANK($K46,$K$2:$K$1001),"")</f>
        <v>106</v>
      </c>
    </row>
    <row r="47" customFormat="false" ht="15" hidden="false" customHeight="false" outlineLevel="0" collapsed="false">
      <c r="A47" s="12" t="n">
        <v>46</v>
      </c>
      <c r="B47" s="12" t="s">
        <v>26</v>
      </c>
      <c r="C47" s="12" t="s">
        <v>141</v>
      </c>
      <c r="D47" s="11" t="s">
        <v>190</v>
      </c>
      <c r="E47" s="12" t="s">
        <v>191</v>
      </c>
      <c r="F47" s="12" t="s">
        <v>164</v>
      </c>
      <c r="G47" s="12" t="s">
        <v>147</v>
      </c>
      <c r="H47" s="12" t="s">
        <v>163</v>
      </c>
      <c r="I47" s="12" t="s">
        <v>18</v>
      </c>
      <c r="J47" s="10" t="n">
        <f aca="false">IF($D47="",0,IF(AND(OR(Test!$B$4="Hepsi",$B47=Test!$B$4),OR(Test!$B$5="Hepsi",$C47=Test!$B$5)),1,0))</f>
        <v>1</v>
      </c>
      <c r="K47" s="10" t="n">
        <f aca="true">IF($J47=1,RAND(),-1)</f>
        <v>0.718936128430385</v>
      </c>
      <c r="L47" s="10" t="n">
        <f aca="false">IF($J47=1,RANK($K47,$K$2:$K$1001),"")</f>
        <v>73</v>
      </c>
    </row>
    <row r="48" customFormat="false" ht="15" hidden="false" customHeight="false" outlineLevel="0" collapsed="false">
      <c r="A48" s="12" t="n">
        <v>47</v>
      </c>
      <c r="B48" s="12" t="s">
        <v>26</v>
      </c>
      <c r="C48" s="12" t="s">
        <v>141</v>
      </c>
      <c r="D48" s="11" t="s">
        <v>192</v>
      </c>
      <c r="E48" s="12" t="s">
        <v>191</v>
      </c>
      <c r="F48" s="12" t="s">
        <v>152</v>
      </c>
      <c r="G48" s="12" t="s">
        <v>176</v>
      </c>
      <c r="H48" s="12" t="s">
        <v>144</v>
      </c>
      <c r="I48" s="12" t="s">
        <v>19</v>
      </c>
      <c r="J48" s="10" t="n">
        <f aca="false">IF($D48="",0,IF(AND(OR(Test!$B$4="Hepsi",$B48=Test!$B$4),OR(Test!$B$5="Hepsi",$C48=Test!$B$5)),1,0))</f>
        <v>1</v>
      </c>
      <c r="K48" s="10" t="n">
        <f aca="true">IF($J48=1,RAND(),-1)</f>
        <v>0.830303633578037</v>
      </c>
      <c r="L48" s="10" t="n">
        <f aca="false">IF($J48=1,RANK($K48,$K$2:$K$1001),"")</f>
        <v>45</v>
      </c>
    </row>
    <row r="49" customFormat="false" ht="15" hidden="false" customHeight="false" outlineLevel="0" collapsed="false">
      <c r="A49" s="12" t="n">
        <v>48</v>
      </c>
      <c r="B49" s="12" t="s">
        <v>26</v>
      </c>
      <c r="C49" s="12" t="s">
        <v>141</v>
      </c>
      <c r="D49" s="11" t="s">
        <v>193</v>
      </c>
      <c r="E49" s="12" t="s">
        <v>159</v>
      </c>
      <c r="F49" s="12" t="s">
        <v>194</v>
      </c>
      <c r="G49" s="12" t="s">
        <v>155</v>
      </c>
      <c r="H49" s="12" t="s">
        <v>195</v>
      </c>
      <c r="I49" s="12" t="s">
        <v>21</v>
      </c>
      <c r="J49" s="10" t="n">
        <f aca="false">IF($D49="",0,IF(AND(OR(Test!$B$4="Hepsi",$B49=Test!$B$4),OR(Test!$B$5="Hepsi",$C49=Test!$B$5)),1,0))</f>
        <v>1</v>
      </c>
      <c r="K49" s="10" t="n">
        <f aca="true">IF($J49=1,RAND(),-1)</f>
        <v>0.105797343930896</v>
      </c>
      <c r="L49" s="10" t="n">
        <f aca="false">IF($J49=1,RANK($K49,$K$2:$K$1001),"")</f>
        <v>203</v>
      </c>
    </row>
    <row r="50" customFormat="false" ht="15" hidden="false" customHeight="false" outlineLevel="0" collapsed="false">
      <c r="A50" s="12" t="n">
        <v>49</v>
      </c>
      <c r="B50" s="12" t="s">
        <v>26</v>
      </c>
      <c r="C50" s="12" t="s">
        <v>141</v>
      </c>
      <c r="D50" s="11" t="s">
        <v>196</v>
      </c>
      <c r="E50" s="12" t="s">
        <v>157</v>
      </c>
      <c r="F50" s="12" t="s">
        <v>197</v>
      </c>
      <c r="G50" s="12" t="s">
        <v>182</v>
      </c>
      <c r="H50" s="12" t="s">
        <v>152</v>
      </c>
      <c r="I50" s="12" t="s">
        <v>20</v>
      </c>
      <c r="J50" s="10" t="n">
        <f aca="false">IF($D50="",0,IF(AND(OR(Test!$B$4="Hepsi",$B50=Test!$B$4),OR(Test!$B$5="Hepsi",$C50=Test!$B$5)),1,0))</f>
        <v>1</v>
      </c>
      <c r="K50" s="10" t="n">
        <f aca="true">IF($J50=1,RAND(),-1)</f>
        <v>0.461674405168116</v>
      </c>
      <c r="L50" s="10" t="n">
        <f aca="false">IF($J50=1,RANK($K50,$K$2:$K$1001),"")</f>
        <v>128</v>
      </c>
    </row>
    <row r="51" customFormat="false" ht="15" hidden="false" customHeight="false" outlineLevel="0" collapsed="false">
      <c r="A51" s="12" t="n">
        <v>50</v>
      </c>
      <c r="B51" s="12" t="s">
        <v>26</v>
      </c>
      <c r="C51" s="12" t="s">
        <v>141</v>
      </c>
      <c r="D51" s="11" t="s">
        <v>198</v>
      </c>
      <c r="E51" s="12" t="s">
        <v>53</v>
      </c>
      <c r="F51" s="12" t="s">
        <v>199</v>
      </c>
      <c r="G51" s="12" t="s">
        <v>174</v>
      </c>
      <c r="H51" s="12" t="s">
        <v>200</v>
      </c>
      <c r="I51" s="12" t="s">
        <v>19</v>
      </c>
      <c r="J51" s="10" t="n">
        <f aca="false">IF($D51="",0,IF(AND(OR(Test!$B$4="Hepsi",$B51=Test!$B$4),OR(Test!$B$5="Hepsi",$C51=Test!$B$5)),1,0))</f>
        <v>1</v>
      </c>
      <c r="K51" s="10" t="n">
        <f aca="true">IF($J51=1,RAND(),-1)</f>
        <v>0.471491576486297</v>
      </c>
      <c r="L51" s="10" t="n">
        <f aca="false">IF($J51=1,RANK($K51,$K$2:$K$1001),"")</f>
        <v>127</v>
      </c>
    </row>
    <row r="52" customFormat="false" ht="15" hidden="false" customHeight="false" outlineLevel="0" collapsed="false">
      <c r="A52" s="12" t="n">
        <v>51</v>
      </c>
      <c r="B52" s="12" t="s">
        <v>26</v>
      </c>
      <c r="C52" s="12" t="s">
        <v>141</v>
      </c>
      <c r="D52" s="11" t="s">
        <v>201</v>
      </c>
      <c r="E52" s="12" t="s">
        <v>202</v>
      </c>
      <c r="F52" s="12" t="s">
        <v>203</v>
      </c>
      <c r="G52" s="12" t="s">
        <v>54</v>
      </c>
      <c r="H52" s="12" t="s">
        <v>204</v>
      </c>
      <c r="I52" s="12" t="s">
        <v>18</v>
      </c>
      <c r="J52" s="10" t="n">
        <f aca="false">IF($D52="",0,IF(AND(OR(Test!$B$4="Hepsi",$B52=Test!$B$4),OR(Test!$B$5="Hepsi",$C52=Test!$B$5)),1,0))</f>
        <v>1</v>
      </c>
      <c r="K52" s="10" t="n">
        <f aca="true">IF($J52=1,RAND(),-1)</f>
        <v>0.335547521413743</v>
      </c>
      <c r="L52" s="10" t="n">
        <f aca="false">IF($J52=1,RANK($K52,$K$2:$K$1001),"")</f>
        <v>161</v>
      </c>
    </row>
    <row r="53" customFormat="false" ht="15" hidden="false" customHeight="false" outlineLevel="0" collapsed="false">
      <c r="A53" s="12" t="n">
        <v>52</v>
      </c>
      <c r="B53" s="12" t="s">
        <v>26</v>
      </c>
      <c r="C53" s="12" t="s">
        <v>141</v>
      </c>
      <c r="D53" s="11" t="s">
        <v>205</v>
      </c>
      <c r="E53" s="12" t="s">
        <v>206</v>
      </c>
      <c r="F53" s="12" t="s">
        <v>38</v>
      </c>
      <c r="G53" s="12" t="s">
        <v>50</v>
      </c>
      <c r="H53" s="12" t="s">
        <v>207</v>
      </c>
      <c r="I53" s="12" t="s">
        <v>20</v>
      </c>
      <c r="J53" s="10" t="n">
        <f aca="false">IF($D53="",0,IF(AND(OR(Test!$B$4="Hepsi",$B53=Test!$B$4),OR(Test!$B$5="Hepsi",$C53=Test!$B$5)),1,0))</f>
        <v>1</v>
      </c>
      <c r="K53" s="10" t="n">
        <f aca="true">IF($J53=1,RAND(),-1)</f>
        <v>0.399194913705203</v>
      </c>
      <c r="L53" s="10" t="n">
        <f aca="false">IF($J53=1,RANK($K53,$K$2:$K$1001),"")</f>
        <v>148</v>
      </c>
    </row>
    <row r="54" customFormat="false" ht="15" hidden="false" customHeight="false" outlineLevel="0" collapsed="false">
      <c r="A54" s="12" t="n">
        <v>53</v>
      </c>
      <c r="B54" s="12" t="s">
        <v>26</v>
      </c>
      <c r="C54" s="12" t="s">
        <v>141</v>
      </c>
      <c r="D54" s="11" t="s">
        <v>208</v>
      </c>
      <c r="E54" s="12" t="s">
        <v>209</v>
      </c>
      <c r="F54" s="12" t="s">
        <v>50</v>
      </c>
      <c r="G54" s="12" t="s">
        <v>49</v>
      </c>
      <c r="H54" s="12" t="s">
        <v>210</v>
      </c>
      <c r="I54" s="12" t="s">
        <v>20</v>
      </c>
      <c r="J54" s="10" t="n">
        <f aca="false">IF($D54="",0,IF(AND(OR(Test!$B$4="Hepsi",$B54=Test!$B$4),OR(Test!$B$5="Hepsi",$C54=Test!$B$5)),1,0))</f>
        <v>1</v>
      </c>
      <c r="K54" s="10" t="n">
        <f aca="true">IF($J54=1,RAND(),-1)</f>
        <v>0.287927786335275</v>
      </c>
      <c r="L54" s="10" t="n">
        <f aca="false">IF($J54=1,RANK($K54,$K$2:$K$1001),"")</f>
        <v>169</v>
      </c>
    </row>
    <row r="55" customFormat="false" ht="15" hidden="false" customHeight="false" outlineLevel="0" collapsed="false">
      <c r="A55" s="12" t="n">
        <v>54</v>
      </c>
      <c r="B55" s="12" t="s">
        <v>26</v>
      </c>
      <c r="C55" s="12" t="s">
        <v>141</v>
      </c>
      <c r="D55" s="11" t="s">
        <v>211</v>
      </c>
      <c r="E55" s="12" t="s">
        <v>94</v>
      </c>
      <c r="F55" s="12" t="s">
        <v>98</v>
      </c>
      <c r="G55" s="12" t="s">
        <v>75</v>
      </c>
      <c r="H55" s="12" t="s">
        <v>212</v>
      </c>
      <c r="I55" s="12" t="s">
        <v>21</v>
      </c>
      <c r="J55" s="10" t="n">
        <f aca="false">IF($D55="",0,IF(AND(OR(Test!$B$4="Hepsi",$B55=Test!$B$4),OR(Test!$B$5="Hepsi",$C55=Test!$B$5)),1,0))</f>
        <v>1</v>
      </c>
      <c r="K55" s="10" t="n">
        <f aca="true">IF($J55=1,RAND(),-1)</f>
        <v>0.982083403409526</v>
      </c>
      <c r="L55" s="10" t="n">
        <f aca="false">IF($J55=1,RANK($K55,$K$2:$K$1001),"")</f>
        <v>6</v>
      </c>
    </row>
    <row r="56" customFormat="false" ht="15" hidden="false" customHeight="false" outlineLevel="0" collapsed="false">
      <c r="A56" s="12" t="n">
        <v>55</v>
      </c>
      <c r="B56" s="12" t="s">
        <v>26</v>
      </c>
      <c r="C56" s="12" t="s">
        <v>141</v>
      </c>
      <c r="D56" s="11" t="s">
        <v>213</v>
      </c>
      <c r="E56" s="12" t="s">
        <v>107</v>
      </c>
      <c r="F56" s="12" t="s">
        <v>83</v>
      </c>
      <c r="G56" s="12" t="s">
        <v>89</v>
      </c>
      <c r="H56" s="12" t="s">
        <v>84</v>
      </c>
      <c r="I56" s="12" t="s">
        <v>21</v>
      </c>
      <c r="J56" s="10" t="n">
        <f aca="false">IF($D56="",0,IF(AND(OR(Test!$B$4="Hepsi",$B56=Test!$B$4),OR(Test!$B$5="Hepsi",$C56=Test!$B$5)),1,0))</f>
        <v>1</v>
      </c>
      <c r="K56" s="10" t="n">
        <f aca="true">IF($J56=1,RAND(),-1)</f>
        <v>0.887989054334326</v>
      </c>
      <c r="L56" s="10" t="n">
        <f aca="false">IF($J56=1,RANK($K56,$K$2:$K$1001),"")</f>
        <v>33</v>
      </c>
    </row>
    <row r="57" customFormat="false" ht="15" hidden="false" customHeight="false" outlineLevel="0" collapsed="false">
      <c r="A57" s="12" t="n">
        <v>56</v>
      </c>
      <c r="B57" s="12" t="s">
        <v>26</v>
      </c>
      <c r="C57" s="12" t="s">
        <v>141</v>
      </c>
      <c r="D57" s="11" t="s">
        <v>211</v>
      </c>
      <c r="E57" s="12" t="s">
        <v>89</v>
      </c>
      <c r="F57" s="12" t="s">
        <v>75</v>
      </c>
      <c r="G57" s="12" t="s">
        <v>98</v>
      </c>
      <c r="H57" s="12" t="s">
        <v>107</v>
      </c>
      <c r="I57" s="12" t="s">
        <v>21</v>
      </c>
      <c r="J57" s="10" t="n">
        <f aca="false">IF($D57="",0,IF(AND(OR(Test!$B$4="Hepsi",$B57=Test!$B$4),OR(Test!$B$5="Hepsi",$C57=Test!$B$5)),1,0))</f>
        <v>1</v>
      </c>
      <c r="K57" s="10" t="n">
        <f aca="true">IF($J57=1,RAND(),-1)</f>
        <v>0.977716180093909</v>
      </c>
      <c r="L57" s="10" t="n">
        <f aca="false">IF($J57=1,RANK($K57,$K$2:$K$1001),"")</f>
        <v>8</v>
      </c>
    </row>
    <row r="58" customFormat="false" ht="15" hidden="false" customHeight="false" outlineLevel="0" collapsed="false">
      <c r="A58" s="12" t="n">
        <v>57</v>
      </c>
      <c r="B58" s="12" t="s">
        <v>26</v>
      </c>
      <c r="C58" s="12" t="s">
        <v>141</v>
      </c>
      <c r="D58" s="11" t="s">
        <v>213</v>
      </c>
      <c r="E58" s="12" t="s">
        <v>83</v>
      </c>
      <c r="F58" s="12" t="s">
        <v>74</v>
      </c>
      <c r="G58" s="12" t="s">
        <v>84</v>
      </c>
      <c r="H58" s="12" t="s">
        <v>87</v>
      </c>
      <c r="I58" s="12" t="s">
        <v>19</v>
      </c>
      <c r="J58" s="10" t="n">
        <f aca="false">IF($D58="",0,IF(AND(OR(Test!$B$4="Hepsi",$B58=Test!$B$4),OR(Test!$B$5="Hepsi",$C58=Test!$B$5)),1,0))</f>
        <v>1</v>
      </c>
      <c r="K58" s="10" t="n">
        <f aca="true">IF($J58=1,RAND(),-1)</f>
        <v>0.308030767623289</v>
      </c>
      <c r="L58" s="10" t="n">
        <f aca="false">IF($J58=1,RANK($K58,$K$2:$K$1001),"")</f>
        <v>165</v>
      </c>
    </row>
    <row r="59" customFormat="false" ht="15" hidden="false" customHeight="false" outlineLevel="0" collapsed="false">
      <c r="A59" s="12" t="n">
        <v>58</v>
      </c>
      <c r="B59" s="12" t="s">
        <v>26</v>
      </c>
      <c r="C59" s="12" t="s">
        <v>141</v>
      </c>
      <c r="D59" s="11" t="s">
        <v>211</v>
      </c>
      <c r="E59" s="12" t="s">
        <v>87</v>
      </c>
      <c r="F59" s="12" t="s">
        <v>98</v>
      </c>
      <c r="G59" s="12" t="s">
        <v>84</v>
      </c>
      <c r="H59" s="12" t="s">
        <v>74</v>
      </c>
      <c r="I59" s="12" t="s">
        <v>18</v>
      </c>
      <c r="J59" s="10" t="n">
        <f aca="false">IF($D59="",0,IF(AND(OR(Test!$B$4="Hepsi",$B59=Test!$B$4),OR(Test!$B$5="Hepsi",$C59=Test!$B$5)),1,0))</f>
        <v>1</v>
      </c>
      <c r="K59" s="10" t="n">
        <f aca="true">IF($J59=1,RAND(),-1)</f>
        <v>0.495895388504701</v>
      </c>
      <c r="L59" s="10" t="n">
        <f aca="false">IF($J59=1,RANK($K59,$K$2:$K$1001),"")</f>
        <v>120</v>
      </c>
    </row>
    <row r="60" customFormat="false" ht="15" hidden="false" customHeight="false" outlineLevel="0" collapsed="false">
      <c r="A60" s="12" t="n">
        <v>59</v>
      </c>
      <c r="B60" s="12" t="s">
        <v>26</v>
      </c>
      <c r="C60" s="12" t="s">
        <v>141</v>
      </c>
      <c r="D60" s="11" t="s">
        <v>213</v>
      </c>
      <c r="E60" s="12" t="s">
        <v>87</v>
      </c>
      <c r="F60" s="12" t="s">
        <v>84</v>
      </c>
      <c r="G60" s="12" t="s">
        <v>212</v>
      </c>
      <c r="H60" s="12" t="s">
        <v>214</v>
      </c>
      <c r="I60" s="12" t="s">
        <v>19</v>
      </c>
      <c r="J60" s="10" t="n">
        <f aca="false">IF($D60="",0,IF(AND(OR(Test!$B$4="Hepsi",$B60=Test!$B$4),OR(Test!$B$5="Hepsi",$C60=Test!$B$5)),1,0))</f>
        <v>1</v>
      </c>
      <c r="K60" s="10" t="n">
        <f aca="true">IF($J60=1,RAND(),-1)</f>
        <v>0.596637310922611</v>
      </c>
      <c r="L60" s="10" t="n">
        <f aca="false">IF($J60=1,RANK($K60,$K$2:$K$1001),"")</f>
        <v>100</v>
      </c>
    </row>
    <row r="61" customFormat="false" ht="15" hidden="false" customHeight="false" outlineLevel="0" collapsed="false">
      <c r="A61" s="12" t="n">
        <v>60</v>
      </c>
      <c r="B61" s="12" t="s">
        <v>26</v>
      </c>
      <c r="C61" s="12" t="s">
        <v>141</v>
      </c>
      <c r="D61" s="11" t="s">
        <v>211</v>
      </c>
      <c r="E61" s="12" t="s">
        <v>214</v>
      </c>
      <c r="F61" s="12" t="s">
        <v>79</v>
      </c>
      <c r="G61" s="12" t="s">
        <v>75</v>
      </c>
      <c r="H61" s="12" t="s">
        <v>84</v>
      </c>
      <c r="I61" s="12" t="s">
        <v>18</v>
      </c>
      <c r="J61" s="10" t="n">
        <f aca="false">IF($D61="",0,IF(AND(OR(Test!$B$4="Hepsi",$B61=Test!$B$4),OR(Test!$B$5="Hepsi",$C61=Test!$B$5)),1,0))</f>
        <v>1</v>
      </c>
      <c r="K61" s="10" t="n">
        <f aca="true">IF($J61=1,RAND(),-1)</f>
        <v>0.21185582582072</v>
      </c>
      <c r="L61" s="10" t="n">
        <f aca="false">IF($J61=1,RANK($K61,$K$2:$K$1001),"")</f>
        <v>186</v>
      </c>
    </row>
    <row r="62" customFormat="false" ht="15" hidden="false" customHeight="false" outlineLevel="0" collapsed="false">
      <c r="A62" s="12" t="n">
        <v>61</v>
      </c>
      <c r="B62" s="12" t="s">
        <v>26</v>
      </c>
      <c r="C62" s="12" t="s">
        <v>141</v>
      </c>
      <c r="D62" s="11" t="s">
        <v>213</v>
      </c>
      <c r="E62" s="12" t="s">
        <v>214</v>
      </c>
      <c r="F62" s="12" t="s">
        <v>212</v>
      </c>
      <c r="G62" s="12" t="s">
        <v>98</v>
      </c>
      <c r="H62" s="12" t="s">
        <v>79</v>
      </c>
      <c r="I62" s="12" t="s">
        <v>21</v>
      </c>
      <c r="J62" s="10" t="n">
        <f aca="false">IF($D62="",0,IF(AND(OR(Test!$B$4="Hepsi",$B62=Test!$B$4),OR(Test!$B$5="Hepsi",$C62=Test!$B$5)),1,0))</f>
        <v>1</v>
      </c>
      <c r="K62" s="10" t="n">
        <f aca="true">IF($J62=1,RAND(),-1)</f>
        <v>0.188242001890644</v>
      </c>
      <c r="L62" s="10" t="n">
        <f aca="false">IF($J62=1,RANK($K62,$K$2:$K$1001),"")</f>
        <v>190</v>
      </c>
    </row>
    <row r="63" customFormat="false" ht="15" hidden="false" customHeight="false" outlineLevel="0" collapsed="false">
      <c r="A63" s="12" t="n">
        <v>62</v>
      </c>
      <c r="B63" s="12" t="s">
        <v>26</v>
      </c>
      <c r="C63" s="12" t="s">
        <v>141</v>
      </c>
      <c r="D63" s="11" t="s">
        <v>215</v>
      </c>
      <c r="E63" s="12" t="s">
        <v>68</v>
      </c>
      <c r="F63" s="12" t="s">
        <v>45</v>
      </c>
      <c r="G63" s="12" t="s">
        <v>70</v>
      </c>
      <c r="H63" s="12" t="s">
        <v>48</v>
      </c>
      <c r="I63" s="12" t="s">
        <v>19</v>
      </c>
      <c r="J63" s="10" t="n">
        <f aca="false">IF($D63="",0,IF(AND(OR(Test!$B$4="Hepsi",$B63=Test!$B$4),OR(Test!$B$5="Hepsi",$C63=Test!$B$5)),1,0))</f>
        <v>1</v>
      </c>
      <c r="K63" s="10" t="n">
        <f aca="true">IF($J63=1,RAND(),-1)</f>
        <v>0.812339756334825</v>
      </c>
      <c r="L63" s="10" t="n">
        <f aca="false">IF($J63=1,RANK($K63,$K$2:$K$1001),"")</f>
        <v>49</v>
      </c>
    </row>
    <row r="64" customFormat="false" ht="15" hidden="false" customHeight="false" outlineLevel="0" collapsed="false">
      <c r="A64" s="12" t="n">
        <v>63</v>
      </c>
      <c r="B64" s="12" t="s">
        <v>26</v>
      </c>
      <c r="C64" s="12" t="s">
        <v>141</v>
      </c>
      <c r="D64" s="11" t="s">
        <v>215</v>
      </c>
      <c r="E64" s="12" t="s">
        <v>71</v>
      </c>
      <c r="F64" s="12" t="s">
        <v>48</v>
      </c>
      <c r="G64" s="12" t="s">
        <v>35</v>
      </c>
      <c r="H64" s="12" t="s">
        <v>68</v>
      </c>
      <c r="I64" s="12" t="s">
        <v>18</v>
      </c>
      <c r="J64" s="10" t="n">
        <f aca="false">IF($D64="",0,IF(AND(OR(Test!$B$4="Hepsi",$B64=Test!$B$4),OR(Test!$B$5="Hepsi",$C64=Test!$B$5)),1,0))</f>
        <v>1</v>
      </c>
      <c r="K64" s="10" t="n">
        <f aca="true">IF($J64=1,RAND(),-1)</f>
        <v>0.800928435580494</v>
      </c>
      <c r="L64" s="10" t="n">
        <f aca="false">IF($J64=1,RANK($K64,$K$2:$K$1001),"")</f>
        <v>53</v>
      </c>
    </row>
    <row r="65" customFormat="false" ht="15" hidden="false" customHeight="false" outlineLevel="0" collapsed="false">
      <c r="A65" s="12" t="n">
        <v>64</v>
      </c>
      <c r="B65" s="12" t="s">
        <v>26</v>
      </c>
      <c r="C65" s="12" t="s">
        <v>141</v>
      </c>
      <c r="D65" s="11" t="s">
        <v>215</v>
      </c>
      <c r="E65" s="12" t="s">
        <v>57</v>
      </c>
      <c r="F65" s="12" t="s">
        <v>35</v>
      </c>
      <c r="G65" s="12" t="s">
        <v>49</v>
      </c>
      <c r="H65" s="12" t="s">
        <v>63</v>
      </c>
      <c r="I65" s="12" t="s">
        <v>20</v>
      </c>
      <c r="J65" s="10" t="n">
        <f aca="false">IF($D65="",0,IF(AND(OR(Test!$B$4="Hepsi",$B65=Test!$B$4),OR(Test!$B$5="Hepsi",$C65=Test!$B$5)),1,0))</f>
        <v>1</v>
      </c>
      <c r="K65" s="10" t="n">
        <f aca="true">IF($J65=1,RAND(),-1)</f>
        <v>0.40415861166416</v>
      </c>
      <c r="L65" s="10" t="n">
        <f aca="false">IF($J65=1,RANK($K65,$K$2:$K$1001),"")</f>
        <v>147</v>
      </c>
    </row>
    <row r="66" customFormat="false" ht="15" hidden="false" customHeight="false" outlineLevel="0" collapsed="false">
      <c r="A66" s="12" t="n">
        <v>65</v>
      </c>
      <c r="B66" s="12" t="s">
        <v>26</v>
      </c>
      <c r="C66" s="12" t="s">
        <v>141</v>
      </c>
      <c r="D66" s="11" t="s">
        <v>215</v>
      </c>
      <c r="E66" s="12" t="s">
        <v>40</v>
      </c>
      <c r="F66" s="12" t="s">
        <v>54</v>
      </c>
      <c r="G66" s="12" t="s">
        <v>68</v>
      </c>
      <c r="H66" s="12" t="s">
        <v>55</v>
      </c>
      <c r="I66" s="12" t="s">
        <v>19</v>
      </c>
      <c r="J66" s="10" t="n">
        <f aca="false">IF($D66="",0,IF(AND(OR(Test!$B$4="Hepsi",$B66=Test!$B$4),OR(Test!$B$5="Hepsi",$C66=Test!$B$5)),1,0))</f>
        <v>1</v>
      </c>
      <c r="K66" s="10" t="n">
        <f aca="true">IF($J66=1,RAND(),-1)</f>
        <v>0.140235757977395</v>
      </c>
      <c r="L66" s="10" t="n">
        <f aca="false">IF($J66=1,RANK($K66,$K$2:$K$1001),"")</f>
        <v>197</v>
      </c>
    </row>
    <row r="67" customFormat="false" ht="15" hidden="false" customHeight="false" outlineLevel="0" collapsed="false">
      <c r="A67" s="12" t="n">
        <v>66</v>
      </c>
      <c r="B67" s="12" t="s">
        <v>26</v>
      </c>
      <c r="C67" s="12" t="s">
        <v>141</v>
      </c>
      <c r="D67" s="11" t="s">
        <v>215</v>
      </c>
      <c r="E67" s="12" t="s">
        <v>35</v>
      </c>
      <c r="F67" s="12" t="s">
        <v>53</v>
      </c>
      <c r="G67" s="12" t="s">
        <v>42</v>
      </c>
      <c r="H67" s="12" t="s">
        <v>55</v>
      </c>
      <c r="I67" s="12" t="s">
        <v>19</v>
      </c>
      <c r="J67" s="10" t="n">
        <f aca="false">IF($D67="",0,IF(AND(OR(Test!$B$4="Hepsi",$B67=Test!$B$4),OR(Test!$B$5="Hepsi",$C67=Test!$B$5)),1,0))</f>
        <v>1</v>
      </c>
      <c r="K67" s="10" t="n">
        <f aca="true">IF($J67=1,RAND(),-1)</f>
        <v>0.753613265232359</v>
      </c>
      <c r="L67" s="10" t="n">
        <f aca="false">IF($J67=1,RANK($K67,$K$2:$K$1001),"")</f>
        <v>65</v>
      </c>
    </row>
    <row r="68" customFormat="false" ht="15" hidden="false" customHeight="false" outlineLevel="0" collapsed="false">
      <c r="A68" s="12" t="n">
        <v>67</v>
      </c>
      <c r="B68" s="12" t="s">
        <v>26</v>
      </c>
      <c r="C68" s="12" t="s">
        <v>141</v>
      </c>
      <c r="D68" s="11" t="s">
        <v>215</v>
      </c>
      <c r="E68" s="12" t="s">
        <v>58</v>
      </c>
      <c r="F68" s="12" t="s">
        <v>40</v>
      </c>
      <c r="G68" s="12" t="s">
        <v>63</v>
      </c>
      <c r="H68" s="12" t="s">
        <v>35</v>
      </c>
      <c r="I68" s="12" t="s">
        <v>18</v>
      </c>
      <c r="J68" s="10" t="n">
        <f aca="false">IF($D68="",0,IF(AND(OR(Test!$B$4="Hepsi",$B68=Test!$B$4),OR(Test!$B$5="Hepsi",$C68=Test!$B$5)),1,0))</f>
        <v>1</v>
      </c>
      <c r="K68" s="10" t="n">
        <f aca="true">IF($J68=1,RAND(),-1)</f>
        <v>0.976040052293349</v>
      </c>
      <c r="L68" s="10" t="n">
        <f aca="false">IF($J68=1,RANK($K68,$K$2:$K$1001),"")</f>
        <v>9</v>
      </c>
    </row>
    <row r="69" customFormat="false" ht="15" hidden="false" customHeight="false" outlineLevel="0" collapsed="false">
      <c r="A69" s="12" t="n">
        <v>68</v>
      </c>
      <c r="B69" s="12" t="s">
        <v>26</v>
      </c>
      <c r="C69" s="12" t="s">
        <v>141</v>
      </c>
      <c r="D69" s="11" t="s">
        <v>216</v>
      </c>
      <c r="E69" s="12" t="s">
        <v>40</v>
      </c>
      <c r="F69" s="12" t="s">
        <v>207</v>
      </c>
      <c r="G69" s="12" t="s">
        <v>58</v>
      </c>
      <c r="H69" s="12" t="s">
        <v>53</v>
      </c>
      <c r="I69" s="12" t="s">
        <v>18</v>
      </c>
      <c r="J69" s="10" t="n">
        <f aca="false">IF($D69="",0,IF(AND(OR(Test!$B$4="Hepsi",$B69=Test!$B$4),OR(Test!$B$5="Hepsi",$C69=Test!$B$5)),1,0))</f>
        <v>1</v>
      </c>
      <c r="K69" s="10" t="n">
        <f aca="true">IF($J69=1,RAND(),-1)</f>
        <v>0.132659301939662</v>
      </c>
      <c r="L69" s="10" t="n">
        <f aca="false">IF($J69=1,RANK($K69,$K$2:$K$1001),"")</f>
        <v>199</v>
      </c>
    </row>
    <row r="70" customFormat="false" ht="15" hidden="false" customHeight="false" outlineLevel="0" collapsed="false">
      <c r="A70" s="12" t="n">
        <v>69</v>
      </c>
      <c r="B70" s="12" t="s">
        <v>26</v>
      </c>
      <c r="C70" s="12" t="s">
        <v>141</v>
      </c>
      <c r="D70" s="11" t="s">
        <v>216</v>
      </c>
      <c r="E70" s="12" t="s">
        <v>53</v>
      </c>
      <c r="F70" s="12" t="s">
        <v>45</v>
      </c>
      <c r="G70" s="12" t="s">
        <v>54</v>
      </c>
      <c r="H70" s="12" t="s">
        <v>35</v>
      </c>
      <c r="I70" s="12" t="s">
        <v>21</v>
      </c>
      <c r="J70" s="10" t="n">
        <f aca="false">IF($D70="",0,IF(AND(OR(Test!$B$4="Hepsi",$B70=Test!$B$4),OR(Test!$B$5="Hepsi",$C70=Test!$B$5)),1,0))</f>
        <v>1</v>
      </c>
      <c r="K70" s="10" t="n">
        <f aca="true">IF($J70=1,RAND(),-1)</f>
        <v>0.871058164385805</v>
      </c>
      <c r="L70" s="10" t="n">
        <f aca="false">IF($J70=1,RANK($K70,$K$2:$K$1001),"")</f>
        <v>34</v>
      </c>
    </row>
    <row r="71" customFormat="false" ht="15" hidden="false" customHeight="false" outlineLevel="0" collapsed="false">
      <c r="A71" s="12" t="n">
        <v>70</v>
      </c>
      <c r="B71" s="12" t="s">
        <v>26</v>
      </c>
      <c r="C71" s="12" t="s">
        <v>141</v>
      </c>
      <c r="D71" s="11" t="s">
        <v>216</v>
      </c>
      <c r="E71" s="12" t="s">
        <v>45</v>
      </c>
      <c r="F71" s="12" t="s">
        <v>48</v>
      </c>
      <c r="G71" s="12" t="s">
        <v>54</v>
      </c>
      <c r="H71" s="12" t="s">
        <v>38</v>
      </c>
      <c r="I71" s="12" t="s">
        <v>19</v>
      </c>
      <c r="J71" s="10" t="n">
        <f aca="false">IF($D71="",0,IF(AND(OR(Test!$B$4="Hepsi",$B71=Test!$B$4),OR(Test!$B$5="Hepsi",$C71=Test!$B$5)),1,0))</f>
        <v>1</v>
      </c>
      <c r="K71" s="10" t="n">
        <f aca="true">IF($J71=1,RAND(),-1)</f>
        <v>0.841723396132882</v>
      </c>
      <c r="L71" s="10" t="n">
        <f aca="false">IF($J71=1,RANK($K71,$K$2:$K$1001),"")</f>
        <v>42</v>
      </c>
    </row>
    <row r="72" customFormat="false" ht="15" hidden="false" customHeight="false" outlineLevel="0" collapsed="false">
      <c r="A72" s="12" t="n">
        <v>71</v>
      </c>
      <c r="B72" s="12" t="s">
        <v>26</v>
      </c>
      <c r="C72" s="12" t="s">
        <v>141</v>
      </c>
      <c r="D72" s="11" t="s">
        <v>216</v>
      </c>
      <c r="E72" s="12" t="s">
        <v>207</v>
      </c>
      <c r="F72" s="12" t="s">
        <v>45</v>
      </c>
      <c r="G72" s="12" t="s">
        <v>58</v>
      </c>
      <c r="H72" s="12" t="s">
        <v>57</v>
      </c>
      <c r="I72" s="12" t="s">
        <v>21</v>
      </c>
      <c r="J72" s="10" t="n">
        <f aca="false">IF($D72="",0,IF(AND(OR(Test!$B$4="Hepsi",$B72=Test!$B$4),OR(Test!$B$5="Hepsi",$C72=Test!$B$5)),1,0))</f>
        <v>1</v>
      </c>
      <c r="K72" s="10" t="n">
        <f aca="true">IF($J72=1,RAND(),-1)</f>
        <v>0.664741586310112</v>
      </c>
      <c r="L72" s="10" t="n">
        <f aca="false">IF($J72=1,RANK($K72,$K$2:$K$1001),"")</f>
        <v>85</v>
      </c>
    </row>
    <row r="73" customFormat="false" ht="15" hidden="false" customHeight="false" outlineLevel="0" collapsed="false">
      <c r="A73" s="12" t="n">
        <v>72</v>
      </c>
      <c r="B73" s="12" t="s">
        <v>26</v>
      </c>
      <c r="C73" s="12" t="s">
        <v>141</v>
      </c>
      <c r="D73" s="11" t="s">
        <v>216</v>
      </c>
      <c r="E73" s="12" t="s">
        <v>58</v>
      </c>
      <c r="F73" s="12" t="s">
        <v>66</v>
      </c>
      <c r="G73" s="12" t="s">
        <v>162</v>
      </c>
      <c r="H73" s="12" t="s">
        <v>68</v>
      </c>
      <c r="I73" s="12" t="s">
        <v>21</v>
      </c>
      <c r="J73" s="10" t="n">
        <f aca="false">IF($D73="",0,IF(AND(OR(Test!$B$4="Hepsi",$B73=Test!$B$4),OR(Test!$B$5="Hepsi",$C73=Test!$B$5)),1,0))</f>
        <v>1</v>
      </c>
      <c r="K73" s="10" t="n">
        <f aca="true">IF($J73=1,RAND(),-1)</f>
        <v>0.126455421028607</v>
      </c>
      <c r="L73" s="10" t="n">
        <f aca="false">IF($J73=1,RANK($K73,$K$2:$K$1001),"")</f>
        <v>201</v>
      </c>
    </row>
    <row r="74" customFormat="false" ht="15" hidden="false" customHeight="false" outlineLevel="0" collapsed="false">
      <c r="A74" s="12" t="n">
        <v>73</v>
      </c>
      <c r="B74" s="12" t="s">
        <v>26</v>
      </c>
      <c r="C74" s="12" t="s">
        <v>141</v>
      </c>
      <c r="D74" s="11" t="s">
        <v>216</v>
      </c>
      <c r="E74" s="12" t="s">
        <v>63</v>
      </c>
      <c r="F74" s="12" t="s">
        <v>58</v>
      </c>
      <c r="G74" s="12" t="s">
        <v>207</v>
      </c>
      <c r="H74" s="12" t="s">
        <v>53</v>
      </c>
      <c r="I74" s="12" t="s">
        <v>18</v>
      </c>
      <c r="J74" s="10" t="n">
        <f aca="false">IF($D74="",0,IF(AND(OR(Test!$B$4="Hepsi",$B74=Test!$B$4),OR(Test!$B$5="Hepsi",$C74=Test!$B$5)),1,0))</f>
        <v>1</v>
      </c>
      <c r="K74" s="10" t="n">
        <f aca="true">IF($J74=1,RAND(),-1)</f>
        <v>0.238762401024499</v>
      </c>
      <c r="L74" s="10" t="n">
        <f aca="false">IF($J74=1,RANK($K74,$K$2:$K$1001),"")</f>
        <v>179</v>
      </c>
    </row>
    <row r="75" customFormat="false" ht="15" hidden="false" customHeight="false" outlineLevel="0" collapsed="false">
      <c r="A75" s="12" t="n">
        <v>74</v>
      </c>
      <c r="B75" s="12" t="s">
        <v>26</v>
      </c>
      <c r="C75" s="12" t="s">
        <v>217</v>
      </c>
      <c r="D75" s="11" t="s">
        <v>218</v>
      </c>
      <c r="E75" s="12" t="s">
        <v>144</v>
      </c>
      <c r="F75" s="12" t="s">
        <v>152</v>
      </c>
      <c r="G75" s="12" t="s">
        <v>219</v>
      </c>
      <c r="H75" s="12" t="s">
        <v>38</v>
      </c>
      <c r="I75" s="12" t="s">
        <v>21</v>
      </c>
      <c r="J75" s="10" t="n">
        <f aca="false">IF($D75="",0,IF(AND(OR(Test!$B$4="Hepsi",$B75=Test!$B$4),OR(Test!$B$5="Hepsi",$C75=Test!$B$5)),1,0))</f>
        <v>1</v>
      </c>
      <c r="K75" s="10" t="n">
        <f aca="true">IF($J75=1,RAND(),-1)</f>
        <v>0.21784742330843</v>
      </c>
      <c r="L75" s="10" t="n">
        <f aca="false">IF($J75=1,RANK($K75,$K$2:$K$1001),"")</f>
        <v>185</v>
      </c>
    </row>
    <row r="76" customFormat="false" ht="15" hidden="false" customHeight="false" outlineLevel="0" collapsed="false">
      <c r="A76" s="12" t="n">
        <v>75</v>
      </c>
      <c r="B76" s="12" t="s">
        <v>26</v>
      </c>
      <c r="C76" s="12" t="s">
        <v>217</v>
      </c>
      <c r="D76" s="11" t="s">
        <v>220</v>
      </c>
      <c r="E76" s="12" t="s">
        <v>147</v>
      </c>
      <c r="F76" s="12" t="s">
        <v>50</v>
      </c>
      <c r="G76" s="12" t="s">
        <v>49</v>
      </c>
      <c r="H76" s="12" t="s">
        <v>35</v>
      </c>
      <c r="I76" s="12" t="s">
        <v>18</v>
      </c>
      <c r="J76" s="10" t="n">
        <f aca="false">IF($D76="",0,IF(AND(OR(Test!$B$4="Hepsi",$B76=Test!$B$4),OR(Test!$B$5="Hepsi",$C76=Test!$B$5)),1,0))</f>
        <v>1</v>
      </c>
      <c r="K76" s="10" t="n">
        <f aca="true">IF($J76=1,RAND(),-1)</f>
        <v>0.440900603171454</v>
      </c>
      <c r="L76" s="10" t="n">
        <f aca="false">IF($J76=1,RANK($K76,$K$2:$K$1001),"")</f>
        <v>133</v>
      </c>
    </row>
    <row r="77" customFormat="false" ht="15" hidden="false" customHeight="false" outlineLevel="0" collapsed="false">
      <c r="A77" s="12" t="n">
        <v>76</v>
      </c>
      <c r="B77" s="12" t="s">
        <v>26</v>
      </c>
      <c r="C77" s="12" t="s">
        <v>217</v>
      </c>
      <c r="D77" s="11" t="s">
        <v>221</v>
      </c>
      <c r="E77" s="12" t="s">
        <v>222</v>
      </c>
      <c r="F77" s="12" t="s">
        <v>49</v>
      </c>
      <c r="G77" s="12" t="s">
        <v>176</v>
      </c>
      <c r="H77" s="12" t="s">
        <v>29</v>
      </c>
      <c r="I77" s="12" t="s">
        <v>19</v>
      </c>
      <c r="J77" s="10" t="n">
        <f aca="false">IF($D77="",0,IF(AND(OR(Test!$B$4="Hepsi",$B77=Test!$B$4),OR(Test!$B$5="Hepsi",$C77=Test!$B$5)),1,0))</f>
        <v>1</v>
      </c>
      <c r="K77" s="10" t="n">
        <f aca="true">IF($J77=1,RAND(),-1)</f>
        <v>0.241320669304064</v>
      </c>
      <c r="L77" s="10" t="n">
        <f aca="false">IF($J77=1,RANK($K77,$K$2:$K$1001),"")</f>
        <v>178</v>
      </c>
    </row>
    <row r="78" customFormat="false" ht="15" hidden="false" customHeight="false" outlineLevel="0" collapsed="false">
      <c r="A78" s="12" t="n">
        <v>77</v>
      </c>
      <c r="B78" s="12" t="s">
        <v>26</v>
      </c>
      <c r="C78" s="12" t="s">
        <v>217</v>
      </c>
      <c r="D78" s="11" t="s">
        <v>223</v>
      </c>
      <c r="E78" s="12" t="s">
        <v>182</v>
      </c>
      <c r="F78" s="12" t="s">
        <v>163</v>
      </c>
      <c r="G78" s="12" t="s">
        <v>224</v>
      </c>
      <c r="H78" s="12" t="s">
        <v>225</v>
      </c>
      <c r="I78" s="12" t="s">
        <v>18</v>
      </c>
      <c r="J78" s="10" t="n">
        <f aca="false">IF($D78="",0,IF(AND(OR(Test!$B$4="Hepsi",$B78=Test!$B$4),OR(Test!$B$5="Hepsi",$C78=Test!$B$5)),1,0))</f>
        <v>1</v>
      </c>
      <c r="K78" s="10" t="n">
        <f aca="true">IF($J78=1,RAND(),-1)</f>
        <v>0.340763078945877</v>
      </c>
      <c r="L78" s="10" t="n">
        <f aca="false">IF($J78=1,RANK($K78,$K$2:$K$1001),"")</f>
        <v>159</v>
      </c>
    </row>
    <row r="79" customFormat="false" ht="15" hidden="false" customHeight="false" outlineLevel="0" collapsed="false">
      <c r="A79" s="12" t="n">
        <v>78</v>
      </c>
      <c r="B79" s="12" t="s">
        <v>26</v>
      </c>
      <c r="C79" s="12" t="s">
        <v>217</v>
      </c>
      <c r="D79" s="11" t="s">
        <v>226</v>
      </c>
      <c r="E79" s="12" t="s">
        <v>157</v>
      </c>
      <c r="F79" s="12" t="s">
        <v>227</v>
      </c>
      <c r="G79" s="12" t="s">
        <v>144</v>
      </c>
      <c r="H79" s="12" t="s">
        <v>176</v>
      </c>
      <c r="I79" s="12" t="s">
        <v>18</v>
      </c>
      <c r="J79" s="10" t="n">
        <f aca="false">IF($D79="",0,IF(AND(OR(Test!$B$4="Hepsi",$B79=Test!$B$4),OR(Test!$B$5="Hepsi",$C79=Test!$B$5)),1,0))</f>
        <v>1</v>
      </c>
      <c r="K79" s="10" t="n">
        <f aca="true">IF($J79=1,RAND(),-1)</f>
        <v>0.632485875980518</v>
      </c>
      <c r="L79" s="10" t="n">
        <f aca="false">IF($J79=1,RANK($K79,$K$2:$K$1001),"")</f>
        <v>91</v>
      </c>
    </row>
    <row r="80" customFormat="false" ht="15" hidden="false" customHeight="false" outlineLevel="0" collapsed="false">
      <c r="A80" s="12" t="n">
        <v>79</v>
      </c>
      <c r="B80" s="12" t="s">
        <v>26</v>
      </c>
      <c r="C80" s="12" t="s">
        <v>217</v>
      </c>
      <c r="D80" s="11" t="s">
        <v>228</v>
      </c>
      <c r="E80" s="12" t="s">
        <v>191</v>
      </c>
      <c r="F80" s="12" t="s">
        <v>176</v>
      </c>
      <c r="G80" s="12" t="s">
        <v>49</v>
      </c>
      <c r="H80" s="12" t="s">
        <v>229</v>
      </c>
      <c r="I80" s="12" t="s">
        <v>20</v>
      </c>
      <c r="J80" s="10" t="n">
        <f aca="false">IF($D80="",0,IF(AND(OR(Test!$B$4="Hepsi",$B80=Test!$B$4),OR(Test!$B$5="Hepsi",$C80=Test!$B$5)),1,0))</f>
        <v>1</v>
      </c>
      <c r="K80" s="10" t="n">
        <f aca="true">IF($J80=1,RAND(),-1)</f>
        <v>0.43491216022024</v>
      </c>
      <c r="L80" s="10" t="n">
        <f aca="false">IF($J80=1,RANK($K80,$K$2:$K$1001),"")</f>
        <v>136</v>
      </c>
    </row>
    <row r="81" customFormat="false" ht="15" hidden="false" customHeight="false" outlineLevel="0" collapsed="false">
      <c r="A81" s="12" t="n">
        <v>80</v>
      </c>
      <c r="B81" s="12" t="s">
        <v>26</v>
      </c>
      <c r="C81" s="12" t="s">
        <v>217</v>
      </c>
      <c r="D81" s="11" t="s">
        <v>230</v>
      </c>
      <c r="E81" s="12" t="s">
        <v>160</v>
      </c>
      <c r="F81" s="12" t="s">
        <v>44</v>
      </c>
      <c r="G81" s="12" t="s">
        <v>152</v>
      </c>
      <c r="H81" s="12" t="s">
        <v>231</v>
      </c>
      <c r="I81" s="12" t="s">
        <v>20</v>
      </c>
      <c r="J81" s="10" t="n">
        <f aca="false">IF($D81="",0,IF(AND(OR(Test!$B$4="Hepsi",$B81=Test!$B$4),OR(Test!$B$5="Hepsi",$C81=Test!$B$5)),1,0))</f>
        <v>1</v>
      </c>
      <c r="K81" s="10" t="n">
        <f aca="true">IF($J81=1,RAND(),-1)</f>
        <v>0.289808184631809</v>
      </c>
      <c r="L81" s="10" t="n">
        <f aca="false">IF($J81=1,RANK($K81,$K$2:$K$1001),"")</f>
        <v>167</v>
      </c>
    </row>
    <row r="82" customFormat="false" ht="15" hidden="false" customHeight="false" outlineLevel="0" collapsed="false">
      <c r="A82" s="12" t="n">
        <v>81</v>
      </c>
      <c r="B82" s="12" t="s">
        <v>26</v>
      </c>
      <c r="C82" s="12" t="s">
        <v>217</v>
      </c>
      <c r="D82" s="11" t="s">
        <v>232</v>
      </c>
      <c r="E82" s="12" t="s">
        <v>233</v>
      </c>
      <c r="F82" s="12" t="s">
        <v>234</v>
      </c>
      <c r="G82" s="12" t="s">
        <v>235</v>
      </c>
      <c r="H82" s="12" t="s">
        <v>157</v>
      </c>
      <c r="I82" s="12" t="s">
        <v>20</v>
      </c>
      <c r="J82" s="10" t="n">
        <f aca="false">IF($D82="",0,IF(AND(OR(Test!$B$4="Hepsi",$B82=Test!$B$4),OR(Test!$B$5="Hepsi",$C82=Test!$B$5)),1,0))</f>
        <v>1</v>
      </c>
      <c r="K82" s="10" t="n">
        <f aca="true">IF($J82=1,RAND(),-1)</f>
        <v>0.517393647041842</v>
      </c>
      <c r="L82" s="10" t="n">
        <f aca="false">IF($J82=1,RANK($K82,$K$2:$K$1001),"")</f>
        <v>117</v>
      </c>
    </row>
    <row r="83" customFormat="false" ht="15" hidden="false" customHeight="false" outlineLevel="0" collapsed="false">
      <c r="A83" s="12" t="n">
        <v>82</v>
      </c>
      <c r="B83" s="12" t="s">
        <v>26</v>
      </c>
      <c r="C83" s="12" t="s">
        <v>217</v>
      </c>
      <c r="D83" s="11" t="s">
        <v>236</v>
      </c>
      <c r="E83" s="12" t="s">
        <v>237</v>
      </c>
      <c r="F83" s="12" t="s">
        <v>40</v>
      </c>
      <c r="G83" s="12" t="s">
        <v>32</v>
      </c>
      <c r="H83" s="12" t="s">
        <v>38</v>
      </c>
      <c r="I83" s="12" t="s">
        <v>19</v>
      </c>
      <c r="J83" s="10" t="n">
        <f aca="false">IF($D83="",0,IF(AND(OR(Test!$B$4="Hepsi",$B83=Test!$B$4),OR(Test!$B$5="Hepsi",$C83=Test!$B$5)),1,0))</f>
        <v>1</v>
      </c>
      <c r="K83" s="10" t="n">
        <f aca="true">IF($J83=1,RAND(),-1)</f>
        <v>0.0485859722977174</v>
      </c>
      <c r="L83" s="10" t="n">
        <f aca="false">IF($J83=1,RANK($K83,$K$2:$K$1001),"")</f>
        <v>215</v>
      </c>
    </row>
    <row r="84" customFormat="false" ht="15" hidden="false" customHeight="false" outlineLevel="0" collapsed="false">
      <c r="A84" s="12" t="n">
        <v>83</v>
      </c>
      <c r="B84" s="12" t="s">
        <v>26</v>
      </c>
      <c r="C84" s="12" t="s">
        <v>217</v>
      </c>
      <c r="D84" s="11" t="s">
        <v>238</v>
      </c>
      <c r="E84" s="12" t="s">
        <v>237</v>
      </c>
      <c r="F84" s="12" t="s">
        <v>42</v>
      </c>
      <c r="G84" s="12" t="s">
        <v>44</v>
      </c>
      <c r="H84" s="12" t="s">
        <v>45</v>
      </c>
      <c r="I84" s="12" t="s">
        <v>19</v>
      </c>
      <c r="J84" s="10" t="n">
        <f aca="false">IF($D84="",0,IF(AND(OR(Test!$B$4="Hepsi",$B84=Test!$B$4),OR(Test!$B$5="Hepsi",$C84=Test!$B$5)),1,0))</f>
        <v>1</v>
      </c>
      <c r="K84" s="10" t="n">
        <f aca="true">IF($J84=1,RAND(),-1)</f>
        <v>0.687398153556858</v>
      </c>
      <c r="L84" s="10" t="n">
        <f aca="false">IF($J84=1,RANK($K84,$K$2:$K$1001),"")</f>
        <v>79</v>
      </c>
    </row>
    <row r="85" customFormat="false" ht="15" hidden="false" customHeight="false" outlineLevel="0" collapsed="false">
      <c r="A85" s="12" t="n">
        <v>84</v>
      </c>
      <c r="B85" s="12" t="s">
        <v>26</v>
      </c>
      <c r="C85" s="12" t="s">
        <v>217</v>
      </c>
      <c r="D85" s="11" t="s">
        <v>239</v>
      </c>
      <c r="E85" s="12" t="s">
        <v>36</v>
      </c>
      <c r="F85" s="12" t="s">
        <v>44</v>
      </c>
      <c r="G85" s="12" t="s">
        <v>45</v>
      </c>
      <c r="H85" s="12" t="s">
        <v>42</v>
      </c>
      <c r="I85" s="12" t="s">
        <v>21</v>
      </c>
      <c r="J85" s="10" t="n">
        <f aca="false">IF($D85="",0,IF(AND(OR(Test!$B$4="Hepsi",$B85=Test!$B$4),OR(Test!$B$5="Hepsi",$C85=Test!$B$5)),1,0))</f>
        <v>1</v>
      </c>
      <c r="K85" s="10" t="n">
        <f aca="true">IF($J85=1,RAND(),-1)</f>
        <v>0.985274015158048</v>
      </c>
      <c r="L85" s="10" t="n">
        <f aca="false">IF($J85=1,RANK($K85,$K$2:$K$1001),"")</f>
        <v>5</v>
      </c>
    </row>
    <row r="86" customFormat="false" ht="15" hidden="false" customHeight="false" outlineLevel="0" collapsed="false">
      <c r="A86" s="12" t="n">
        <v>85</v>
      </c>
      <c r="B86" s="12" t="s">
        <v>26</v>
      </c>
      <c r="C86" s="12" t="s">
        <v>217</v>
      </c>
      <c r="D86" s="11" t="s">
        <v>240</v>
      </c>
      <c r="E86" s="12" t="s">
        <v>48</v>
      </c>
      <c r="F86" s="12" t="s">
        <v>49</v>
      </c>
      <c r="G86" s="12" t="s">
        <v>164</v>
      </c>
      <c r="H86" s="12" t="s">
        <v>50</v>
      </c>
      <c r="I86" s="12" t="s">
        <v>18</v>
      </c>
      <c r="J86" s="10" t="n">
        <f aca="false">IF($D86="",0,IF(AND(OR(Test!$B$4="Hepsi",$B86=Test!$B$4),OR(Test!$B$5="Hepsi",$C86=Test!$B$5)),1,0))</f>
        <v>1</v>
      </c>
      <c r="K86" s="10" t="n">
        <f aca="true">IF($J86=1,RAND(),-1)</f>
        <v>0.184848672188111</v>
      </c>
      <c r="L86" s="10" t="n">
        <f aca="false">IF($J86=1,RANK($K86,$K$2:$K$1001),"")</f>
        <v>191</v>
      </c>
    </row>
    <row r="87" customFormat="false" ht="15" hidden="false" customHeight="false" outlineLevel="0" collapsed="false">
      <c r="A87" s="12" t="n">
        <v>86</v>
      </c>
      <c r="B87" s="12" t="s">
        <v>26</v>
      </c>
      <c r="C87" s="12" t="s">
        <v>217</v>
      </c>
      <c r="D87" s="11" t="s">
        <v>241</v>
      </c>
      <c r="E87" s="12" t="s">
        <v>48</v>
      </c>
      <c r="F87" s="12" t="s">
        <v>50</v>
      </c>
      <c r="G87" s="12" t="s">
        <v>49</v>
      </c>
      <c r="H87" s="12" t="s">
        <v>242</v>
      </c>
      <c r="I87" s="12" t="s">
        <v>18</v>
      </c>
      <c r="J87" s="10" t="n">
        <f aca="false">IF($D87="",0,IF(AND(OR(Test!$B$4="Hepsi",$B87=Test!$B$4),OR(Test!$B$5="Hepsi",$C87=Test!$B$5)),1,0))</f>
        <v>1</v>
      </c>
      <c r="K87" s="10" t="n">
        <f aca="true">IF($J87=1,RAND(),-1)</f>
        <v>0.0538107612208909</v>
      </c>
      <c r="L87" s="10" t="n">
        <f aca="false">IF($J87=1,RANK($K87,$K$2:$K$1001),"")</f>
        <v>214</v>
      </c>
    </row>
    <row r="88" customFormat="false" ht="15" hidden="false" customHeight="false" outlineLevel="0" collapsed="false">
      <c r="A88" s="12" t="n">
        <v>87</v>
      </c>
      <c r="B88" s="12" t="s">
        <v>26</v>
      </c>
      <c r="C88" s="12" t="s">
        <v>217</v>
      </c>
      <c r="D88" s="11" t="s">
        <v>243</v>
      </c>
      <c r="E88" s="12" t="s">
        <v>54</v>
      </c>
      <c r="F88" s="12" t="s">
        <v>55</v>
      </c>
      <c r="G88" s="12" t="s">
        <v>197</v>
      </c>
      <c r="H88" s="12" t="s">
        <v>53</v>
      </c>
      <c r="I88" s="12" t="s">
        <v>19</v>
      </c>
      <c r="J88" s="10" t="n">
        <f aca="false">IF($D88="",0,IF(AND(OR(Test!$B$4="Hepsi",$B88=Test!$B$4),OR(Test!$B$5="Hepsi",$C88=Test!$B$5)),1,0))</f>
        <v>1</v>
      </c>
      <c r="K88" s="10" t="n">
        <f aca="true">IF($J88=1,RAND(),-1)</f>
        <v>0.0658790644957822</v>
      </c>
      <c r="L88" s="10" t="n">
        <f aca="false">IF($J88=1,RANK($K88,$K$2:$K$1001),"")</f>
        <v>211</v>
      </c>
    </row>
    <row r="89" customFormat="false" ht="15" hidden="false" customHeight="false" outlineLevel="0" collapsed="false">
      <c r="A89" s="12" t="n">
        <v>88</v>
      </c>
      <c r="B89" s="12" t="s">
        <v>26</v>
      </c>
      <c r="C89" s="12" t="s">
        <v>217</v>
      </c>
      <c r="D89" s="11" t="s">
        <v>244</v>
      </c>
      <c r="E89" s="12" t="s">
        <v>53</v>
      </c>
      <c r="F89" s="12" t="s">
        <v>54</v>
      </c>
      <c r="G89" s="12" t="s">
        <v>55</v>
      </c>
      <c r="H89" s="12" t="s">
        <v>245</v>
      </c>
      <c r="I89" s="12" t="s">
        <v>20</v>
      </c>
      <c r="J89" s="10" t="n">
        <f aca="false">IF($D89="",0,IF(AND(OR(Test!$B$4="Hepsi",$B89=Test!$B$4),OR(Test!$B$5="Hepsi",$C89=Test!$B$5)),1,0))</f>
        <v>1</v>
      </c>
      <c r="K89" s="10" t="n">
        <f aca="true">IF($J89=1,RAND(),-1)</f>
        <v>0.482451385017774</v>
      </c>
      <c r="L89" s="10" t="n">
        <f aca="false">IF($J89=1,RANK($K89,$K$2:$K$1001),"")</f>
        <v>121</v>
      </c>
    </row>
    <row r="90" customFormat="false" ht="15" hidden="false" customHeight="false" outlineLevel="0" collapsed="false">
      <c r="A90" s="12" t="n">
        <v>89</v>
      </c>
      <c r="B90" s="12" t="s">
        <v>26</v>
      </c>
      <c r="C90" s="12" t="s">
        <v>217</v>
      </c>
      <c r="D90" s="11" t="s">
        <v>246</v>
      </c>
      <c r="E90" s="12" t="s">
        <v>247</v>
      </c>
      <c r="F90" s="12" t="s">
        <v>53</v>
      </c>
      <c r="G90" s="12" t="s">
        <v>54</v>
      </c>
      <c r="H90" s="12" t="s">
        <v>55</v>
      </c>
      <c r="I90" s="12" t="s">
        <v>21</v>
      </c>
      <c r="J90" s="10" t="n">
        <f aca="false">IF($D90="",0,IF(AND(OR(Test!$B$4="Hepsi",$B90=Test!$B$4),OR(Test!$B$5="Hepsi",$C90=Test!$B$5)),1,0))</f>
        <v>1</v>
      </c>
      <c r="K90" s="10" t="n">
        <f aca="true">IF($J90=1,RAND(),-1)</f>
        <v>0.862579276901756</v>
      </c>
      <c r="L90" s="10" t="n">
        <f aca="false">IF($J90=1,RANK($K90,$K$2:$K$1001),"")</f>
        <v>36</v>
      </c>
    </row>
    <row r="91" customFormat="false" ht="15" hidden="false" customHeight="false" outlineLevel="0" collapsed="false">
      <c r="A91" s="12" t="n">
        <v>90</v>
      </c>
      <c r="B91" s="12" t="s">
        <v>26</v>
      </c>
      <c r="C91" s="12" t="s">
        <v>217</v>
      </c>
      <c r="D91" s="11" t="s">
        <v>248</v>
      </c>
      <c r="E91" s="12" t="s">
        <v>31</v>
      </c>
      <c r="F91" s="12" t="s">
        <v>32</v>
      </c>
      <c r="G91" s="12" t="s">
        <v>29</v>
      </c>
      <c r="H91" s="12" t="s">
        <v>36</v>
      </c>
      <c r="I91" s="12" t="s">
        <v>19</v>
      </c>
      <c r="J91" s="10" t="n">
        <f aca="false">IF($D91="",0,IF(AND(OR(Test!$B$4="Hepsi",$B91=Test!$B$4),OR(Test!$B$5="Hepsi",$C91=Test!$B$5)),1,0))</f>
        <v>1</v>
      </c>
      <c r="K91" s="10" t="n">
        <f aca="true">IF($J91=1,RAND(),-1)</f>
        <v>0.861398017883458</v>
      </c>
      <c r="L91" s="10" t="n">
        <f aca="false">IF($J91=1,RANK($K91,$K$2:$K$1001),"")</f>
        <v>37</v>
      </c>
    </row>
    <row r="92" customFormat="false" ht="15" hidden="false" customHeight="false" outlineLevel="0" collapsed="false">
      <c r="A92" s="12" t="n">
        <v>91</v>
      </c>
      <c r="B92" s="12" t="s">
        <v>26</v>
      </c>
      <c r="C92" s="12" t="s">
        <v>217</v>
      </c>
      <c r="D92" s="11" t="s">
        <v>249</v>
      </c>
      <c r="E92" s="12" t="s">
        <v>29</v>
      </c>
      <c r="F92" s="12" t="s">
        <v>144</v>
      </c>
      <c r="G92" s="12" t="s">
        <v>191</v>
      </c>
      <c r="H92" s="12" t="s">
        <v>32</v>
      </c>
      <c r="I92" s="12" t="s">
        <v>18</v>
      </c>
      <c r="J92" s="10" t="n">
        <f aca="false">IF($D92="",0,IF(AND(OR(Test!$B$4="Hepsi",$B92=Test!$B$4),OR(Test!$B$5="Hepsi",$C92=Test!$B$5)),1,0))</f>
        <v>1</v>
      </c>
      <c r="K92" s="10" t="n">
        <f aca="true">IF($J92=1,RAND(),-1)</f>
        <v>0.801706944009685</v>
      </c>
      <c r="L92" s="10" t="n">
        <f aca="false">IF($J92=1,RANK($K92,$K$2:$K$1001),"")</f>
        <v>52</v>
      </c>
    </row>
    <row r="93" customFormat="false" ht="15" hidden="false" customHeight="false" outlineLevel="0" collapsed="false">
      <c r="A93" s="12" t="n">
        <v>92</v>
      </c>
      <c r="B93" s="12" t="s">
        <v>26</v>
      </c>
      <c r="C93" s="12" t="s">
        <v>217</v>
      </c>
      <c r="D93" s="11" t="s">
        <v>250</v>
      </c>
      <c r="E93" s="12" t="s">
        <v>32</v>
      </c>
      <c r="F93" s="12" t="s">
        <v>31</v>
      </c>
      <c r="G93" s="12" t="s">
        <v>30</v>
      </c>
      <c r="H93" s="12" t="s">
        <v>144</v>
      </c>
      <c r="I93" s="12" t="s">
        <v>19</v>
      </c>
      <c r="J93" s="10" t="n">
        <f aca="false">IF($D93="",0,IF(AND(OR(Test!$B$4="Hepsi",$B93=Test!$B$4),OR(Test!$B$5="Hepsi",$C93=Test!$B$5)),1,0))</f>
        <v>1</v>
      </c>
      <c r="K93" s="10" t="n">
        <f aca="true">IF($J93=1,RAND(),-1)</f>
        <v>0.905759625927511</v>
      </c>
      <c r="L93" s="10" t="n">
        <f aca="false">IF($J93=1,RANK($K93,$K$2:$K$1001),"")</f>
        <v>26</v>
      </c>
    </row>
    <row r="94" customFormat="false" ht="15" hidden="false" customHeight="false" outlineLevel="0" collapsed="false">
      <c r="A94" s="12" t="n">
        <v>93</v>
      </c>
      <c r="B94" s="12" t="s">
        <v>26</v>
      </c>
      <c r="C94" s="12" t="s">
        <v>217</v>
      </c>
      <c r="D94" s="11" t="s">
        <v>251</v>
      </c>
      <c r="E94" s="12" t="s">
        <v>29</v>
      </c>
      <c r="F94" s="12" t="s">
        <v>144</v>
      </c>
      <c r="G94" s="12" t="s">
        <v>180</v>
      </c>
      <c r="H94" s="12" t="s">
        <v>34</v>
      </c>
      <c r="I94" s="12" t="s">
        <v>19</v>
      </c>
      <c r="J94" s="10" t="n">
        <f aca="false">IF($D94="",0,IF(AND(OR(Test!$B$4="Hepsi",$B94=Test!$B$4),OR(Test!$B$5="Hepsi",$C94=Test!$B$5)),1,0))</f>
        <v>1</v>
      </c>
      <c r="K94" s="10" t="n">
        <f aca="true">IF($J94=1,RAND(),-1)</f>
        <v>0.358497303402479</v>
      </c>
      <c r="L94" s="10" t="n">
        <f aca="false">IF($J94=1,RANK($K94,$K$2:$K$1001),"")</f>
        <v>154</v>
      </c>
    </row>
    <row r="95" customFormat="false" ht="15" hidden="false" customHeight="false" outlineLevel="0" collapsed="false">
      <c r="A95" s="12" t="n">
        <v>94</v>
      </c>
      <c r="B95" s="12" t="s">
        <v>26</v>
      </c>
      <c r="C95" s="12" t="s">
        <v>217</v>
      </c>
      <c r="D95" s="11" t="s">
        <v>252</v>
      </c>
      <c r="E95" s="12" t="s">
        <v>169</v>
      </c>
      <c r="F95" s="12" t="s">
        <v>147</v>
      </c>
      <c r="G95" s="12" t="s">
        <v>34</v>
      </c>
      <c r="H95" s="12" t="s">
        <v>144</v>
      </c>
      <c r="I95" s="12" t="s">
        <v>20</v>
      </c>
      <c r="J95" s="10" t="n">
        <f aca="false">IF($D95="",0,IF(AND(OR(Test!$B$4="Hepsi",$B95=Test!$B$4),OR(Test!$B$5="Hepsi",$C95=Test!$B$5)),1,0))</f>
        <v>1</v>
      </c>
      <c r="K95" s="10" t="n">
        <f aca="true">IF($J95=1,RAND(),-1)</f>
        <v>0.934320432102909</v>
      </c>
      <c r="L95" s="10" t="n">
        <f aca="false">IF($J95=1,RANK($K95,$K$2:$K$1001),"")</f>
        <v>23</v>
      </c>
    </row>
    <row r="96" customFormat="false" ht="15" hidden="false" customHeight="false" outlineLevel="0" collapsed="false">
      <c r="A96" s="12" t="n">
        <v>95</v>
      </c>
      <c r="B96" s="12" t="s">
        <v>26</v>
      </c>
      <c r="C96" s="12" t="s">
        <v>217</v>
      </c>
      <c r="D96" s="11" t="s">
        <v>253</v>
      </c>
      <c r="E96" s="12" t="s">
        <v>32</v>
      </c>
      <c r="F96" s="12" t="s">
        <v>29</v>
      </c>
      <c r="G96" s="12" t="s">
        <v>155</v>
      </c>
      <c r="H96" s="12" t="s">
        <v>31</v>
      </c>
      <c r="I96" s="12" t="s">
        <v>18</v>
      </c>
      <c r="J96" s="10" t="n">
        <f aca="false">IF($D96="",0,IF(AND(OR(Test!$B$4="Hepsi",$B96=Test!$B$4),OR(Test!$B$5="Hepsi",$C96=Test!$B$5)),1,0))</f>
        <v>1</v>
      </c>
      <c r="K96" s="10" t="n">
        <f aca="true">IF($J96=1,RAND(),-1)</f>
        <v>0.888631598846162</v>
      </c>
      <c r="L96" s="10" t="n">
        <f aca="false">IF($J96=1,RANK($K96,$K$2:$K$1001),"")</f>
        <v>32</v>
      </c>
    </row>
    <row r="97" customFormat="false" ht="15" hidden="false" customHeight="false" outlineLevel="0" collapsed="false">
      <c r="A97" s="12" t="n">
        <v>96</v>
      </c>
      <c r="B97" s="12" t="s">
        <v>26</v>
      </c>
      <c r="C97" s="12" t="s">
        <v>217</v>
      </c>
      <c r="D97" s="11" t="s">
        <v>254</v>
      </c>
      <c r="E97" s="12" t="s">
        <v>144</v>
      </c>
      <c r="F97" s="12" t="s">
        <v>32</v>
      </c>
      <c r="G97" s="12" t="s">
        <v>62</v>
      </c>
      <c r="H97" s="12" t="s">
        <v>29</v>
      </c>
      <c r="I97" s="12" t="s">
        <v>21</v>
      </c>
      <c r="J97" s="10" t="n">
        <f aca="false">IF($D97="",0,IF(AND(OR(Test!$B$4="Hepsi",$B97=Test!$B$4),OR(Test!$B$5="Hepsi",$C97=Test!$B$5)),1,0))</f>
        <v>1</v>
      </c>
      <c r="K97" s="10" t="n">
        <f aca="true">IF($J97=1,RAND(),-1)</f>
        <v>0.0317133351585759</v>
      </c>
      <c r="L97" s="10" t="n">
        <f aca="false">IF($J97=1,RANK($K97,$K$2:$K$1001),"")</f>
        <v>220</v>
      </c>
    </row>
    <row r="98" customFormat="false" ht="15" hidden="false" customHeight="false" outlineLevel="0" collapsed="false">
      <c r="A98" s="12" t="n">
        <v>97</v>
      </c>
      <c r="B98" s="12" t="s">
        <v>26</v>
      </c>
      <c r="C98" s="12" t="s">
        <v>217</v>
      </c>
      <c r="D98" s="11" t="s">
        <v>255</v>
      </c>
      <c r="E98" s="12" t="s">
        <v>35</v>
      </c>
      <c r="F98" s="12" t="s">
        <v>147</v>
      </c>
      <c r="G98" s="12" t="s">
        <v>199</v>
      </c>
      <c r="H98" s="12" t="s">
        <v>34</v>
      </c>
      <c r="I98" s="12" t="s">
        <v>19</v>
      </c>
      <c r="J98" s="10" t="n">
        <f aca="false">IF($D98="",0,IF(AND(OR(Test!$B$4="Hepsi",$B98=Test!$B$4),OR(Test!$B$5="Hepsi",$C98=Test!$B$5)),1,0))</f>
        <v>1</v>
      </c>
      <c r="K98" s="10" t="n">
        <f aca="true">IF($J98=1,RAND(),-1)</f>
        <v>0.28760844865551</v>
      </c>
      <c r="L98" s="10" t="n">
        <f aca="false">IF($J98=1,RANK($K98,$K$2:$K$1001),"")</f>
        <v>170</v>
      </c>
    </row>
    <row r="99" customFormat="false" ht="15" hidden="false" customHeight="false" outlineLevel="0" collapsed="false">
      <c r="A99" s="12" t="n">
        <v>98</v>
      </c>
      <c r="B99" s="12" t="s">
        <v>26</v>
      </c>
      <c r="C99" s="12" t="s">
        <v>217</v>
      </c>
      <c r="D99" s="11" t="s">
        <v>256</v>
      </c>
      <c r="E99" s="12" t="s">
        <v>58</v>
      </c>
      <c r="F99" s="12" t="s">
        <v>156</v>
      </c>
      <c r="G99" s="12" t="s">
        <v>38</v>
      </c>
      <c r="H99" s="12" t="s">
        <v>155</v>
      </c>
      <c r="I99" s="12" t="s">
        <v>18</v>
      </c>
      <c r="J99" s="10" t="n">
        <f aca="false">IF($D99="",0,IF(AND(OR(Test!$B$4="Hepsi",$B99=Test!$B$4),OR(Test!$B$5="Hepsi",$C99=Test!$B$5)),1,0))</f>
        <v>1</v>
      </c>
      <c r="K99" s="10" t="n">
        <f aca="true">IF($J99=1,RAND(),-1)</f>
        <v>0.472075482254373</v>
      </c>
      <c r="L99" s="10" t="n">
        <f aca="false">IF($J99=1,RANK($K99,$K$2:$K$1001),"")</f>
        <v>126</v>
      </c>
    </row>
    <row r="100" customFormat="false" ht="15" hidden="false" customHeight="false" outlineLevel="0" collapsed="false">
      <c r="A100" s="12" t="n">
        <v>99</v>
      </c>
      <c r="B100" s="12" t="s">
        <v>26</v>
      </c>
      <c r="C100" s="12" t="s">
        <v>217</v>
      </c>
      <c r="D100" s="11" t="s">
        <v>257</v>
      </c>
      <c r="E100" s="12" t="s">
        <v>155</v>
      </c>
      <c r="F100" s="12" t="s">
        <v>58</v>
      </c>
      <c r="G100" s="12" t="s">
        <v>156</v>
      </c>
      <c r="H100" s="12" t="s">
        <v>163</v>
      </c>
      <c r="I100" s="12" t="s">
        <v>19</v>
      </c>
      <c r="J100" s="10" t="n">
        <f aca="false">IF($D100="",0,IF(AND(OR(Test!$B$4="Hepsi",$B100=Test!$B$4),OR(Test!$B$5="Hepsi",$C100=Test!$B$5)),1,0))</f>
        <v>1</v>
      </c>
      <c r="K100" s="10" t="n">
        <f aca="true">IF($J100=1,RAND(),-1)</f>
        <v>0.338319001652816</v>
      </c>
      <c r="L100" s="10" t="n">
        <f aca="false">IF($J100=1,RANK($K100,$K$2:$K$1001),"")</f>
        <v>160</v>
      </c>
    </row>
    <row r="101" customFormat="false" ht="15" hidden="false" customHeight="false" outlineLevel="0" collapsed="false">
      <c r="A101" s="12" t="n">
        <v>100</v>
      </c>
      <c r="B101" s="12" t="s">
        <v>26</v>
      </c>
      <c r="C101" s="12" t="s">
        <v>217</v>
      </c>
      <c r="D101" s="11" t="s">
        <v>258</v>
      </c>
      <c r="E101" s="12" t="s">
        <v>54</v>
      </c>
      <c r="F101" s="12" t="s">
        <v>44</v>
      </c>
      <c r="G101" s="12" t="s">
        <v>259</v>
      </c>
      <c r="H101" s="12" t="s">
        <v>53</v>
      </c>
      <c r="I101" s="12" t="s">
        <v>21</v>
      </c>
      <c r="J101" s="10" t="n">
        <f aca="false">IF($D101="",0,IF(AND(OR(Test!$B$4="Hepsi",$B101=Test!$B$4),OR(Test!$B$5="Hepsi",$C101=Test!$B$5)),1,0))</f>
        <v>1</v>
      </c>
      <c r="K101" s="10" t="n">
        <f aca="true">IF($J101=1,RAND(),-1)</f>
        <v>0.762020224112932</v>
      </c>
      <c r="L101" s="10" t="n">
        <f aca="false">IF($J101=1,RANK($K101,$K$2:$K$1001),"")</f>
        <v>61</v>
      </c>
    </row>
    <row r="102" customFormat="false" ht="15" hidden="false" customHeight="false" outlineLevel="0" collapsed="false">
      <c r="A102" s="12" t="n">
        <v>101</v>
      </c>
      <c r="B102" s="12" t="s">
        <v>26</v>
      </c>
      <c r="C102" s="12" t="s">
        <v>217</v>
      </c>
      <c r="D102" s="11" t="s">
        <v>260</v>
      </c>
      <c r="E102" s="12" t="s">
        <v>261</v>
      </c>
      <c r="F102" s="12" t="s">
        <v>42</v>
      </c>
      <c r="G102" s="12" t="s">
        <v>237</v>
      </c>
      <c r="H102" s="12" t="s">
        <v>45</v>
      </c>
      <c r="I102" s="12" t="s">
        <v>19</v>
      </c>
      <c r="J102" s="10" t="n">
        <f aca="false">IF($D102="",0,IF(AND(OR(Test!$B$4="Hepsi",$B102=Test!$B$4),OR(Test!$B$5="Hepsi",$C102=Test!$B$5)),1,0))</f>
        <v>1</v>
      </c>
      <c r="K102" s="10" t="n">
        <f aca="true">IF($J102=1,RAND(),-1)</f>
        <v>0.288705400487277</v>
      </c>
      <c r="L102" s="10" t="n">
        <f aca="false">IF($J102=1,RANK($K102,$K$2:$K$1001),"")</f>
        <v>168</v>
      </c>
    </row>
    <row r="103" customFormat="false" ht="15" hidden="false" customHeight="false" outlineLevel="0" collapsed="false">
      <c r="A103" s="12" t="n">
        <v>102</v>
      </c>
      <c r="B103" s="12" t="s">
        <v>26</v>
      </c>
      <c r="C103" s="12" t="s">
        <v>217</v>
      </c>
      <c r="D103" s="11" t="s">
        <v>262</v>
      </c>
      <c r="E103" s="12" t="s">
        <v>54</v>
      </c>
      <c r="F103" s="12" t="s">
        <v>156</v>
      </c>
      <c r="G103" s="12" t="s">
        <v>263</v>
      </c>
      <c r="H103" s="12" t="s">
        <v>62</v>
      </c>
      <c r="I103" s="12" t="s">
        <v>20</v>
      </c>
      <c r="J103" s="10" t="n">
        <f aca="false">IF($D103="",0,IF(AND(OR(Test!$B$4="Hepsi",$B103=Test!$B$4),OR(Test!$B$5="Hepsi",$C103=Test!$B$5)),1,0))</f>
        <v>1</v>
      </c>
      <c r="K103" s="10" t="n">
        <f aca="true">IF($J103=1,RAND(),-1)</f>
        <v>0.0822147750307033</v>
      </c>
      <c r="L103" s="10" t="n">
        <f aca="false">IF($J103=1,RANK($K103,$K$2:$K$1001),"")</f>
        <v>208</v>
      </c>
    </row>
    <row r="104" customFormat="false" ht="15" hidden="false" customHeight="false" outlineLevel="0" collapsed="false">
      <c r="A104" s="12" t="n">
        <v>103</v>
      </c>
      <c r="B104" s="12" t="s">
        <v>26</v>
      </c>
      <c r="C104" s="12" t="s">
        <v>217</v>
      </c>
      <c r="D104" s="11" t="s">
        <v>264</v>
      </c>
      <c r="E104" s="12" t="s">
        <v>54</v>
      </c>
      <c r="F104" s="12" t="s">
        <v>62</v>
      </c>
      <c r="G104" s="12" t="s">
        <v>263</v>
      </c>
      <c r="H104" s="12" t="s">
        <v>53</v>
      </c>
      <c r="I104" s="12" t="s">
        <v>20</v>
      </c>
      <c r="J104" s="10" t="n">
        <f aca="false">IF($D104="",0,IF(AND(OR(Test!$B$4="Hepsi",$B104=Test!$B$4),OR(Test!$B$5="Hepsi",$C104=Test!$B$5)),1,0))</f>
        <v>1</v>
      </c>
      <c r="K104" s="10" t="n">
        <f aca="true">IF($J104=1,RAND(),-1)</f>
        <v>0.79739944687822</v>
      </c>
      <c r="L104" s="10" t="n">
        <f aca="false">IF($J104=1,RANK($K104,$K$2:$K$1001),"")</f>
        <v>55</v>
      </c>
    </row>
    <row r="105" customFormat="false" ht="15" hidden="false" customHeight="false" outlineLevel="0" collapsed="false">
      <c r="A105" s="12" t="n">
        <v>104</v>
      </c>
      <c r="B105" s="12" t="s">
        <v>265</v>
      </c>
      <c r="C105" s="12" t="s">
        <v>27</v>
      </c>
      <c r="D105" s="11" t="s">
        <v>266</v>
      </c>
      <c r="E105" s="12" t="s">
        <v>29</v>
      </c>
      <c r="F105" s="12" t="s">
        <v>35</v>
      </c>
      <c r="G105" s="12" t="s">
        <v>62</v>
      </c>
      <c r="H105" s="12" t="s">
        <v>34</v>
      </c>
      <c r="I105" s="12" t="s">
        <v>19</v>
      </c>
      <c r="J105" s="10" t="n">
        <f aca="false">IF($D105="",0,IF(AND(OR(Test!$B$4="Hepsi",$B105=Test!$B$4),OR(Test!$B$5="Hepsi",$C105=Test!$B$5)),1,0))</f>
        <v>1</v>
      </c>
      <c r="K105" s="10" t="n">
        <f aca="true">IF($J105=1,RAND(),-1)</f>
        <v>0.627628393023457</v>
      </c>
      <c r="L105" s="10" t="n">
        <f aca="false">IF($J105=1,RANK($K105,$K$2:$K$1001),"")</f>
        <v>93</v>
      </c>
    </row>
    <row r="106" customFormat="false" ht="15" hidden="false" customHeight="false" outlineLevel="0" collapsed="false">
      <c r="A106" s="12" t="n">
        <v>105</v>
      </c>
      <c r="B106" s="12" t="s">
        <v>265</v>
      </c>
      <c r="C106" s="12" t="s">
        <v>27</v>
      </c>
      <c r="D106" s="11" t="s">
        <v>267</v>
      </c>
      <c r="E106" s="12" t="s">
        <v>40</v>
      </c>
      <c r="F106" s="12" t="s">
        <v>53</v>
      </c>
      <c r="G106" s="12" t="s">
        <v>197</v>
      </c>
      <c r="H106" s="12" t="s">
        <v>38</v>
      </c>
      <c r="I106" s="12" t="s">
        <v>18</v>
      </c>
      <c r="J106" s="10" t="n">
        <f aca="false">IF($D106="",0,IF(AND(OR(Test!$B$4="Hepsi",$B106=Test!$B$4),OR(Test!$B$5="Hepsi",$C106=Test!$B$5)),1,0))</f>
        <v>1</v>
      </c>
      <c r="K106" s="10" t="n">
        <f aca="true">IF($J106=1,RAND(),-1)</f>
        <v>0.546193229951315</v>
      </c>
      <c r="L106" s="10" t="n">
        <f aca="false">IF($J106=1,RANK($K106,$K$2:$K$1001),"")</f>
        <v>111</v>
      </c>
    </row>
    <row r="107" customFormat="false" ht="15" hidden="false" customHeight="false" outlineLevel="0" collapsed="false">
      <c r="A107" s="12" t="n">
        <v>106</v>
      </c>
      <c r="B107" s="12" t="s">
        <v>265</v>
      </c>
      <c r="C107" s="12" t="s">
        <v>27</v>
      </c>
      <c r="D107" s="11" t="s">
        <v>268</v>
      </c>
      <c r="E107" s="12" t="s">
        <v>45</v>
      </c>
      <c r="F107" s="12" t="s">
        <v>42</v>
      </c>
      <c r="G107" s="12" t="s">
        <v>44</v>
      </c>
      <c r="H107" s="12" t="s">
        <v>269</v>
      </c>
      <c r="I107" s="12" t="s">
        <v>19</v>
      </c>
      <c r="J107" s="10" t="n">
        <f aca="false">IF($D107="",0,IF(AND(OR(Test!$B$4="Hepsi",$B107=Test!$B$4),OR(Test!$B$5="Hepsi",$C107=Test!$B$5)),1,0))</f>
        <v>1</v>
      </c>
      <c r="K107" s="10" t="n">
        <f aca="true">IF($J107=1,RAND(),-1)</f>
        <v>0.945795679582426</v>
      </c>
      <c r="L107" s="10" t="n">
        <f aca="false">IF($J107=1,RANK($K107,$K$2:$K$1001),"")</f>
        <v>19</v>
      </c>
    </row>
    <row r="108" customFormat="false" ht="15" hidden="false" customHeight="false" outlineLevel="0" collapsed="false">
      <c r="A108" s="12" t="n">
        <v>107</v>
      </c>
      <c r="B108" s="12" t="s">
        <v>265</v>
      </c>
      <c r="C108" s="12" t="s">
        <v>27</v>
      </c>
      <c r="D108" s="11" t="s">
        <v>270</v>
      </c>
      <c r="E108" s="12" t="s">
        <v>49</v>
      </c>
      <c r="F108" s="12" t="s">
        <v>48</v>
      </c>
      <c r="G108" s="12" t="s">
        <v>271</v>
      </c>
      <c r="H108" s="12" t="s">
        <v>50</v>
      </c>
      <c r="I108" s="12" t="s">
        <v>19</v>
      </c>
      <c r="J108" s="10" t="n">
        <f aca="false">IF($D108="",0,IF(AND(OR(Test!$B$4="Hepsi",$B108=Test!$B$4),OR(Test!$B$5="Hepsi",$C108=Test!$B$5)),1,0))</f>
        <v>1</v>
      </c>
      <c r="K108" s="10" t="n">
        <f aca="true">IF($J108=1,RAND(),-1)</f>
        <v>0.837144964138006</v>
      </c>
      <c r="L108" s="10" t="n">
        <f aca="false">IF($J108=1,RANK($K108,$K$2:$K$1001),"")</f>
        <v>43</v>
      </c>
    </row>
    <row r="109" customFormat="false" ht="15" hidden="false" customHeight="false" outlineLevel="0" collapsed="false">
      <c r="A109" s="12" t="n">
        <v>108</v>
      </c>
      <c r="B109" s="12" t="s">
        <v>265</v>
      </c>
      <c r="C109" s="12" t="s">
        <v>27</v>
      </c>
      <c r="D109" s="11" t="s">
        <v>272</v>
      </c>
      <c r="E109" s="12" t="s">
        <v>53</v>
      </c>
      <c r="F109" s="12" t="s">
        <v>54</v>
      </c>
      <c r="G109" s="12" t="s">
        <v>55</v>
      </c>
      <c r="H109" s="12" t="s">
        <v>245</v>
      </c>
      <c r="I109" s="12" t="s">
        <v>20</v>
      </c>
      <c r="J109" s="10" t="n">
        <f aca="false">IF($D109="",0,IF(AND(OR(Test!$B$4="Hepsi",$B109=Test!$B$4),OR(Test!$B$5="Hepsi",$C109=Test!$B$5)),1,0))</f>
        <v>1</v>
      </c>
      <c r="K109" s="10" t="n">
        <f aca="true">IF($J109=1,RAND(),-1)</f>
        <v>0.715031320928351</v>
      </c>
      <c r="L109" s="10" t="n">
        <f aca="false">IF($J109=1,RANK($K109,$K$2:$K$1001),"")</f>
        <v>74</v>
      </c>
    </row>
    <row r="110" customFormat="false" ht="15" hidden="false" customHeight="false" outlineLevel="0" collapsed="false">
      <c r="A110" s="12" t="n">
        <v>109</v>
      </c>
      <c r="B110" s="12" t="s">
        <v>265</v>
      </c>
      <c r="C110" s="12" t="s">
        <v>27</v>
      </c>
      <c r="D110" s="11" t="s">
        <v>273</v>
      </c>
      <c r="E110" s="12" t="s">
        <v>274</v>
      </c>
      <c r="F110" s="12" t="s">
        <v>59</v>
      </c>
      <c r="G110" s="12" t="s">
        <v>58</v>
      </c>
      <c r="H110" s="12" t="s">
        <v>57</v>
      </c>
      <c r="I110" s="12" t="s">
        <v>21</v>
      </c>
      <c r="J110" s="10" t="n">
        <f aca="false">IF($D110="",0,IF(AND(OR(Test!$B$4="Hepsi",$B110=Test!$B$4),OR(Test!$B$5="Hepsi",$C110=Test!$B$5)),1,0))</f>
        <v>1</v>
      </c>
      <c r="K110" s="10" t="n">
        <f aca="true">IF($J110=1,RAND(),-1)</f>
        <v>0.252958954479738</v>
      </c>
      <c r="L110" s="10" t="n">
        <f aca="false">IF($J110=1,RANK($K110,$K$2:$K$1001),"")</f>
        <v>177</v>
      </c>
    </row>
    <row r="111" customFormat="false" ht="15" hidden="false" customHeight="false" outlineLevel="0" collapsed="false">
      <c r="A111" s="12" t="n">
        <v>110</v>
      </c>
      <c r="B111" s="12" t="s">
        <v>265</v>
      </c>
      <c r="C111" s="12" t="s">
        <v>27</v>
      </c>
      <c r="D111" s="11" t="s">
        <v>275</v>
      </c>
      <c r="E111" s="12" t="s">
        <v>42</v>
      </c>
      <c r="F111" s="12" t="s">
        <v>276</v>
      </c>
      <c r="G111" s="12" t="s">
        <v>63</v>
      </c>
      <c r="H111" s="12" t="s">
        <v>62</v>
      </c>
      <c r="I111" s="12" t="s">
        <v>20</v>
      </c>
      <c r="J111" s="10" t="n">
        <f aca="false">IF($D111="",0,IF(AND(OR(Test!$B$4="Hepsi",$B111=Test!$B$4),OR(Test!$B$5="Hepsi",$C111=Test!$B$5)),1,0))</f>
        <v>1</v>
      </c>
      <c r="K111" s="10" t="n">
        <f aca="true">IF($J111=1,RAND(),-1)</f>
        <v>0.702308129490228</v>
      </c>
      <c r="L111" s="10" t="n">
        <f aca="false">IF($J111=1,RANK($K111,$K$2:$K$1001),"")</f>
        <v>78</v>
      </c>
    </row>
    <row r="112" customFormat="false" ht="15" hidden="false" customHeight="false" outlineLevel="0" collapsed="false">
      <c r="A112" s="12" t="n">
        <v>111</v>
      </c>
      <c r="B112" s="12" t="s">
        <v>265</v>
      </c>
      <c r="C112" s="12" t="s">
        <v>27</v>
      </c>
      <c r="D112" s="11" t="s">
        <v>277</v>
      </c>
      <c r="E112" s="12" t="s">
        <v>40</v>
      </c>
      <c r="F112" s="12" t="s">
        <v>278</v>
      </c>
      <c r="G112" s="12" t="s">
        <v>66</v>
      </c>
      <c r="H112" s="12" t="s">
        <v>68</v>
      </c>
      <c r="I112" s="12" t="s">
        <v>21</v>
      </c>
      <c r="J112" s="10" t="n">
        <f aca="false">IF($D112="",0,IF(AND(OR(Test!$B$4="Hepsi",$B112=Test!$B$4),OR(Test!$B$5="Hepsi",$C112=Test!$B$5)),1,0))</f>
        <v>1</v>
      </c>
      <c r="K112" s="10" t="n">
        <f aca="true">IF($J112=1,RAND(),-1)</f>
        <v>0.972773529451049</v>
      </c>
      <c r="L112" s="10" t="n">
        <f aca="false">IF($J112=1,RANK($K112,$K$2:$K$1001),"")</f>
        <v>10</v>
      </c>
    </row>
    <row r="113" customFormat="false" ht="15" hidden="false" customHeight="false" outlineLevel="0" collapsed="false">
      <c r="A113" s="12" t="n">
        <v>112</v>
      </c>
      <c r="B113" s="12" t="s">
        <v>265</v>
      </c>
      <c r="C113" s="12" t="s">
        <v>27</v>
      </c>
      <c r="D113" s="11" t="s">
        <v>279</v>
      </c>
      <c r="E113" s="12" t="s">
        <v>71</v>
      </c>
      <c r="F113" s="12" t="s">
        <v>70</v>
      </c>
      <c r="G113" s="12" t="s">
        <v>39</v>
      </c>
      <c r="H113" s="12" t="s">
        <v>280</v>
      </c>
      <c r="I113" s="12" t="s">
        <v>19</v>
      </c>
      <c r="J113" s="10" t="n">
        <f aca="false">IF($D113="",0,IF(AND(OR(Test!$B$4="Hepsi",$B113=Test!$B$4),OR(Test!$B$5="Hepsi",$C113=Test!$B$5)),1,0))</f>
        <v>1</v>
      </c>
      <c r="K113" s="10" t="n">
        <f aca="true">IF($J113=1,RAND(),-1)</f>
        <v>0.0219550478897127</v>
      </c>
      <c r="L113" s="10" t="n">
        <f aca="false">IF($J113=1,RANK($K113,$K$2:$K$1001),"")</f>
        <v>222</v>
      </c>
    </row>
    <row r="114" customFormat="false" ht="15" hidden="false" customHeight="false" outlineLevel="0" collapsed="false">
      <c r="A114" s="12" t="n">
        <v>113</v>
      </c>
      <c r="B114" s="12" t="s">
        <v>265</v>
      </c>
      <c r="C114" s="12" t="s">
        <v>27</v>
      </c>
      <c r="D114" s="11" t="s">
        <v>281</v>
      </c>
      <c r="E114" s="12" t="s">
        <v>159</v>
      </c>
      <c r="F114" s="12" t="s">
        <v>282</v>
      </c>
      <c r="G114" s="12" t="s">
        <v>283</v>
      </c>
      <c r="H114" s="12" t="s">
        <v>284</v>
      </c>
      <c r="I114" s="12" t="s">
        <v>20</v>
      </c>
      <c r="J114" s="10" t="n">
        <f aca="false">IF($D114="",0,IF(AND(OR(Test!$B$4="Hepsi",$B114=Test!$B$4),OR(Test!$B$5="Hepsi",$C114=Test!$B$5)),1,0))</f>
        <v>1</v>
      </c>
      <c r="K114" s="10" t="n">
        <f aca="true">IF($J114=1,RAND(),-1)</f>
        <v>0.769520820393269</v>
      </c>
      <c r="L114" s="10" t="n">
        <f aca="false">IF($J114=1,RANK($K114,$K$2:$K$1001),"")</f>
        <v>60</v>
      </c>
    </row>
    <row r="115" customFormat="false" ht="15" hidden="false" customHeight="false" outlineLevel="0" collapsed="false">
      <c r="A115" s="12" t="n">
        <v>114</v>
      </c>
      <c r="B115" s="12" t="s">
        <v>265</v>
      </c>
      <c r="C115" s="12" t="s">
        <v>27</v>
      </c>
      <c r="D115" s="11" t="s">
        <v>285</v>
      </c>
      <c r="E115" s="12" t="s">
        <v>286</v>
      </c>
      <c r="F115" s="12" t="s">
        <v>53</v>
      </c>
      <c r="G115" s="12" t="s">
        <v>263</v>
      </c>
      <c r="H115" s="12" t="s">
        <v>287</v>
      </c>
      <c r="I115" s="12" t="s">
        <v>18</v>
      </c>
      <c r="J115" s="10" t="n">
        <f aca="false">IF($D115="",0,IF(AND(OR(Test!$B$4="Hepsi",$B115=Test!$B$4),OR(Test!$B$5="Hepsi",$C115=Test!$B$5)),1,0))</f>
        <v>1</v>
      </c>
      <c r="K115" s="10" t="n">
        <f aca="true">IF($J115=1,RAND(),-1)</f>
        <v>0.531254748973906</v>
      </c>
      <c r="L115" s="10" t="n">
        <f aca="false">IF($J115=1,RANK($K115,$K$2:$K$1001),"")</f>
        <v>115</v>
      </c>
    </row>
    <row r="116" customFormat="false" ht="15" hidden="false" customHeight="false" outlineLevel="0" collapsed="false">
      <c r="A116" s="12" t="n">
        <v>115</v>
      </c>
      <c r="B116" s="12" t="s">
        <v>265</v>
      </c>
      <c r="C116" s="12" t="s">
        <v>27</v>
      </c>
      <c r="D116" s="11" t="s">
        <v>288</v>
      </c>
      <c r="E116" s="12" t="s">
        <v>271</v>
      </c>
      <c r="F116" s="12" t="s">
        <v>50</v>
      </c>
      <c r="G116" s="12" t="s">
        <v>48</v>
      </c>
      <c r="H116" s="12" t="s">
        <v>49</v>
      </c>
      <c r="I116" s="12" t="s">
        <v>20</v>
      </c>
      <c r="J116" s="10" t="n">
        <f aca="false">IF($D116="",0,IF(AND(OR(Test!$B$4="Hepsi",$B116=Test!$B$4),OR(Test!$B$5="Hepsi",$C116=Test!$B$5)),1,0))</f>
        <v>1</v>
      </c>
      <c r="K116" s="10" t="n">
        <f aca="true">IF($J116=1,RAND(),-1)</f>
        <v>0.033196114783662</v>
      </c>
      <c r="L116" s="10" t="n">
        <f aca="false">IF($J116=1,RANK($K116,$K$2:$K$1001),"")</f>
        <v>219</v>
      </c>
    </row>
    <row r="117" customFormat="false" ht="15" hidden="false" customHeight="false" outlineLevel="0" collapsed="false">
      <c r="A117" s="12" t="n">
        <v>116</v>
      </c>
      <c r="B117" s="12" t="s">
        <v>265</v>
      </c>
      <c r="C117" s="12" t="s">
        <v>27</v>
      </c>
      <c r="D117" s="11" t="s">
        <v>289</v>
      </c>
      <c r="E117" s="12" t="s">
        <v>55</v>
      </c>
      <c r="F117" s="12" t="s">
        <v>290</v>
      </c>
      <c r="G117" s="12" t="s">
        <v>54</v>
      </c>
      <c r="H117" s="12" t="s">
        <v>53</v>
      </c>
      <c r="I117" s="12" t="s">
        <v>18</v>
      </c>
      <c r="J117" s="10" t="n">
        <f aca="false">IF($D117="",0,IF(AND(OR(Test!$B$4="Hepsi",$B117=Test!$B$4),OR(Test!$B$5="Hepsi",$C117=Test!$B$5)),1,0))</f>
        <v>1</v>
      </c>
      <c r="K117" s="10" t="n">
        <f aca="true">IF($J117=1,RAND(),-1)</f>
        <v>0.676507200931158</v>
      </c>
      <c r="L117" s="10" t="n">
        <f aca="false">IF($J117=1,RANK($K117,$K$2:$K$1001),"")</f>
        <v>83</v>
      </c>
    </row>
    <row r="118" customFormat="false" ht="15" hidden="false" customHeight="false" outlineLevel="0" collapsed="false">
      <c r="A118" s="12" t="n">
        <v>117</v>
      </c>
      <c r="B118" s="12" t="s">
        <v>265</v>
      </c>
      <c r="C118" s="12" t="s">
        <v>27</v>
      </c>
      <c r="D118" s="11" t="s">
        <v>291</v>
      </c>
      <c r="E118" s="12" t="s">
        <v>274</v>
      </c>
      <c r="F118" s="12" t="s">
        <v>57</v>
      </c>
      <c r="G118" s="12" t="s">
        <v>58</v>
      </c>
      <c r="H118" s="12" t="s">
        <v>59</v>
      </c>
      <c r="I118" s="12" t="s">
        <v>19</v>
      </c>
      <c r="J118" s="10" t="n">
        <f aca="false">IF($D118="",0,IF(AND(OR(Test!$B$4="Hepsi",$B118=Test!$B$4),OR(Test!$B$5="Hepsi",$C118=Test!$B$5)),1,0))</f>
        <v>1</v>
      </c>
      <c r="K118" s="10" t="n">
        <f aca="true">IF($J118=1,RAND(),-1)</f>
        <v>0.644483604385032</v>
      </c>
      <c r="L118" s="10" t="n">
        <f aca="false">IF($J118=1,RANK($K118,$K$2:$K$1001),"")</f>
        <v>89</v>
      </c>
    </row>
    <row r="119" customFormat="false" ht="15" hidden="false" customHeight="false" outlineLevel="0" collapsed="false">
      <c r="A119" s="12" t="n">
        <v>118</v>
      </c>
      <c r="B119" s="12" t="s">
        <v>265</v>
      </c>
      <c r="C119" s="12" t="s">
        <v>27</v>
      </c>
      <c r="D119" s="11" t="s">
        <v>292</v>
      </c>
      <c r="E119" s="12" t="s">
        <v>63</v>
      </c>
      <c r="F119" s="12" t="s">
        <v>62</v>
      </c>
      <c r="G119" s="12" t="s">
        <v>42</v>
      </c>
      <c r="H119" s="12" t="s">
        <v>276</v>
      </c>
      <c r="I119" s="12" t="s">
        <v>18</v>
      </c>
      <c r="J119" s="10" t="n">
        <f aca="false">IF($D119="",0,IF(AND(OR(Test!$B$4="Hepsi",$B119=Test!$B$4),OR(Test!$B$5="Hepsi",$C119=Test!$B$5)),1,0))</f>
        <v>1</v>
      </c>
      <c r="K119" s="10" t="n">
        <f aca="true">IF($J119=1,RAND(),-1)</f>
        <v>0.06795855857783</v>
      </c>
      <c r="L119" s="10" t="n">
        <f aca="false">IF($J119=1,RANK($K119,$K$2:$K$1001),"")</f>
        <v>210</v>
      </c>
    </row>
    <row r="120" customFormat="false" ht="15" hidden="false" customHeight="false" outlineLevel="0" collapsed="false">
      <c r="A120" s="12" t="n">
        <v>119</v>
      </c>
      <c r="B120" s="12" t="s">
        <v>265</v>
      </c>
      <c r="C120" s="12" t="s">
        <v>141</v>
      </c>
      <c r="D120" s="11" t="s">
        <v>293</v>
      </c>
      <c r="E120" s="12" t="s">
        <v>31</v>
      </c>
      <c r="F120" s="12" t="s">
        <v>32</v>
      </c>
      <c r="G120" s="12" t="s">
        <v>29</v>
      </c>
      <c r="H120" s="12" t="s">
        <v>30</v>
      </c>
      <c r="I120" s="12" t="s">
        <v>18</v>
      </c>
      <c r="J120" s="10" t="n">
        <f aca="false">IF($D120="",0,IF(AND(OR(Test!$B$4="Hepsi",$B120=Test!$B$4),OR(Test!$B$5="Hepsi",$C120=Test!$B$5)),1,0))</f>
        <v>1</v>
      </c>
      <c r="K120" s="10" t="n">
        <f aca="true">IF($J120=1,RAND(),-1)</f>
        <v>0.989397896281922</v>
      </c>
      <c r="L120" s="10" t="n">
        <f aca="false">IF($J120=1,RANK($K120,$K$2:$K$1001),"")</f>
        <v>4</v>
      </c>
    </row>
    <row r="121" customFormat="false" ht="15" hidden="false" customHeight="false" outlineLevel="0" collapsed="false">
      <c r="A121" s="12" t="n">
        <v>120</v>
      </c>
      <c r="B121" s="12" t="s">
        <v>265</v>
      </c>
      <c r="C121" s="12" t="s">
        <v>141</v>
      </c>
      <c r="D121" s="11" t="s">
        <v>294</v>
      </c>
      <c r="E121" s="12" t="s">
        <v>38</v>
      </c>
      <c r="F121" s="12" t="s">
        <v>32</v>
      </c>
      <c r="G121" s="12" t="s">
        <v>29</v>
      </c>
      <c r="H121" s="12" t="s">
        <v>31</v>
      </c>
      <c r="I121" s="12" t="s">
        <v>19</v>
      </c>
      <c r="J121" s="10" t="n">
        <f aca="false">IF($D121="",0,IF(AND(OR(Test!$B$4="Hepsi",$B121=Test!$B$4),OR(Test!$B$5="Hepsi",$C121=Test!$B$5)),1,0))</f>
        <v>1</v>
      </c>
      <c r="K121" s="10" t="n">
        <f aca="true">IF($J121=1,RAND(),-1)</f>
        <v>0.362057665929153</v>
      </c>
      <c r="L121" s="10" t="n">
        <f aca="false">IF($J121=1,RANK($K121,$K$2:$K$1001),"")</f>
        <v>153</v>
      </c>
    </row>
    <row r="122" customFormat="false" ht="15" hidden="false" customHeight="false" outlineLevel="0" collapsed="false">
      <c r="A122" s="12" t="n">
        <v>121</v>
      </c>
      <c r="B122" s="12" t="s">
        <v>265</v>
      </c>
      <c r="C122" s="12" t="s">
        <v>141</v>
      </c>
      <c r="D122" s="11" t="s">
        <v>295</v>
      </c>
      <c r="E122" s="12" t="s">
        <v>32</v>
      </c>
      <c r="F122" s="12" t="s">
        <v>59</v>
      </c>
      <c r="G122" s="12" t="s">
        <v>144</v>
      </c>
      <c r="H122" s="12" t="s">
        <v>29</v>
      </c>
      <c r="I122" s="12" t="s">
        <v>21</v>
      </c>
      <c r="J122" s="10" t="n">
        <f aca="false">IF($D122="",0,IF(AND(OR(Test!$B$4="Hepsi",$B122=Test!$B$4),OR(Test!$B$5="Hepsi",$C122=Test!$B$5)),1,0))</f>
        <v>1</v>
      </c>
      <c r="K122" s="10" t="n">
        <f aca="true">IF($J122=1,RAND(),-1)</f>
        <v>0.946830533187004</v>
      </c>
      <c r="L122" s="10" t="n">
        <f aca="false">IF($J122=1,RANK($K122,$K$2:$K$1001),"")</f>
        <v>18</v>
      </c>
    </row>
    <row r="123" customFormat="false" ht="15" hidden="false" customHeight="false" outlineLevel="0" collapsed="false">
      <c r="A123" s="12" t="n">
        <v>122</v>
      </c>
      <c r="B123" s="12" t="s">
        <v>265</v>
      </c>
      <c r="C123" s="12" t="s">
        <v>141</v>
      </c>
      <c r="D123" s="11" t="s">
        <v>296</v>
      </c>
      <c r="E123" s="12" t="s">
        <v>34</v>
      </c>
      <c r="F123" s="12" t="s">
        <v>185</v>
      </c>
      <c r="G123" s="12" t="s">
        <v>29</v>
      </c>
      <c r="H123" s="12" t="s">
        <v>144</v>
      </c>
      <c r="I123" s="12" t="s">
        <v>21</v>
      </c>
      <c r="J123" s="10" t="n">
        <f aca="false">IF($D123="",0,IF(AND(OR(Test!$B$4="Hepsi",$B123=Test!$B$4),OR(Test!$B$5="Hepsi",$C123=Test!$B$5)),1,0))</f>
        <v>1</v>
      </c>
      <c r="K123" s="10" t="n">
        <f aca="true">IF($J123=1,RAND(),-1)</f>
        <v>0.342227412206893</v>
      </c>
      <c r="L123" s="10" t="n">
        <f aca="false">IF($J123=1,RANK($K123,$K$2:$K$1001),"")</f>
        <v>158</v>
      </c>
    </row>
    <row r="124" customFormat="false" ht="15" hidden="false" customHeight="false" outlineLevel="0" collapsed="false">
      <c r="A124" s="12" t="n">
        <v>123</v>
      </c>
      <c r="B124" s="12" t="s">
        <v>265</v>
      </c>
      <c r="C124" s="12" t="s">
        <v>141</v>
      </c>
      <c r="D124" s="11" t="s">
        <v>297</v>
      </c>
      <c r="E124" s="12" t="s">
        <v>34</v>
      </c>
      <c r="F124" s="12" t="s">
        <v>245</v>
      </c>
      <c r="G124" s="12" t="s">
        <v>144</v>
      </c>
      <c r="H124" s="12" t="s">
        <v>147</v>
      </c>
      <c r="I124" s="12" t="s">
        <v>18</v>
      </c>
      <c r="J124" s="10" t="n">
        <f aca="false">IF($D124="",0,IF(AND(OR(Test!$B$4="Hepsi",$B124=Test!$B$4),OR(Test!$B$5="Hepsi",$C124=Test!$B$5)),1,0))</f>
        <v>1</v>
      </c>
      <c r="K124" s="10" t="n">
        <f aca="true">IF($J124=1,RAND(),-1)</f>
        <v>0.225860930875128</v>
      </c>
      <c r="L124" s="10" t="n">
        <f aca="false">IF($J124=1,RANK($K124,$K$2:$K$1001),"")</f>
        <v>182</v>
      </c>
    </row>
    <row r="125" customFormat="false" ht="15" hidden="false" customHeight="false" outlineLevel="0" collapsed="false">
      <c r="A125" s="12" t="n">
        <v>124</v>
      </c>
      <c r="B125" s="12" t="s">
        <v>265</v>
      </c>
      <c r="C125" s="12" t="s">
        <v>141</v>
      </c>
      <c r="D125" s="11" t="s">
        <v>298</v>
      </c>
      <c r="E125" s="12" t="s">
        <v>34</v>
      </c>
      <c r="F125" s="12" t="s">
        <v>299</v>
      </c>
      <c r="G125" s="12" t="s">
        <v>35</v>
      </c>
      <c r="H125" s="12" t="s">
        <v>147</v>
      </c>
      <c r="I125" s="12" t="s">
        <v>21</v>
      </c>
      <c r="J125" s="10" t="n">
        <f aca="false">IF($D125="",0,IF(AND(OR(Test!$B$4="Hepsi",$B125=Test!$B$4),OR(Test!$B$5="Hepsi",$C125=Test!$B$5)),1,0))</f>
        <v>1</v>
      </c>
      <c r="K125" s="10" t="n">
        <f aca="true">IF($J125=1,RAND(),-1)</f>
        <v>0.513383257943733</v>
      </c>
      <c r="L125" s="10" t="n">
        <f aca="false">IF($J125=1,RANK($K125,$K$2:$K$1001),"")</f>
        <v>118</v>
      </c>
    </row>
    <row r="126" customFormat="false" ht="15" hidden="false" customHeight="false" outlineLevel="0" collapsed="false">
      <c r="A126" s="12" t="n">
        <v>125</v>
      </c>
      <c r="B126" s="12" t="s">
        <v>265</v>
      </c>
      <c r="C126" s="12" t="s">
        <v>141</v>
      </c>
      <c r="D126" s="11" t="s">
        <v>300</v>
      </c>
      <c r="E126" s="12" t="s">
        <v>38</v>
      </c>
      <c r="F126" s="12" t="s">
        <v>147</v>
      </c>
      <c r="G126" s="12" t="s">
        <v>35</v>
      </c>
      <c r="H126" s="12" t="s">
        <v>301</v>
      </c>
      <c r="I126" s="12" t="s">
        <v>20</v>
      </c>
      <c r="J126" s="10" t="n">
        <f aca="false">IF($D126="",0,IF(AND(OR(Test!$B$4="Hepsi",$B126=Test!$B$4),OR(Test!$B$5="Hepsi",$C126=Test!$B$5)),1,0))</f>
        <v>1</v>
      </c>
      <c r="K126" s="10" t="n">
        <f aca="true">IF($J126=1,RAND(),-1)</f>
        <v>0.453193652870636</v>
      </c>
      <c r="L126" s="10" t="n">
        <f aca="false">IF($J126=1,RANK($K126,$K$2:$K$1001),"")</f>
        <v>130</v>
      </c>
    </row>
    <row r="127" customFormat="false" ht="15" hidden="false" customHeight="false" outlineLevel="0" collapsed="false">
      <c r="A127" s="12" t="n">
        <v>126</v>
      </c>
      <c r="B127" s="12" t="s">
        <v>265</v>
      </c>
      <c r="C127" s="12" t="s">
        <v>141</v>
      </c>
      <c r="D127" s="11" t="s">
        <v>302</v>
      </c>
      <c r="E127" s="12" t="s">
        <v>35</v>
      </c>
      <c r="F127" s="12" t="s">
        <v>38</v>
      </c>
      <c r="G127" s="12" t="s">
        <v>36</v>
      </c>
      <c r="H127" s="12" t="s">
        <v>303</v>
      </c>
      <c r="I127" s="12" t="s">
        <v>19</v>
      </c>
      <c r="J127" s="10" t="n">
        <f aca="false">IF($D127="",0,IF(AND(OR(Test!$B$4="Hepsi",$B127=Test!$B$4),OR(Test!$B$5="Hepsi",$C127=Test!$B$5)),1,0))</f>
        <v>1</v>
      </c>
      <c r="K127" s="10" t="n">
        <f aca="true">IF($J127=1,RAND(),-1)</f>
        <v>0.409946950232981</v>
      </c>
      <c r="L127" s="10" t="n">
        <f aca="false">IF($J127=1,RANK($K127,$K$2:$K$1001),"")</f>
        <v>143</v>
      </c>
    </row>
    <row r="128" customFormat="false" ht="15" hidden="false" customHeight="false" outlineLevel="0" collapsed="false">
      <c r="A128" s="12" t="n">
        <v>127</v>
      </c>
      <c r="B128" s="12" t="s">
        <v>265</v>
      </c>
      <c r="C128" s="12" t="s">
        <v>141</v>
      </c>
      <c r="D128" s="11" t="s">
        <v>304</v>
      </c>
      <c r="E128" s="12" t="s">
        <v>36</v>
      </c>
      <c r="F128" s="12" t="s">
        <v>305</v>
      </c>
      <c r="G128" s="12" t="s">
        <v>38</v>
      </c>
      <c r="H128" s="12" t="s">
        <v>152</v>
      </c>
      <c r="I128" s="12" t="s">
        <v>18</v>
      </c>
      <c r="J128" s="10" t="n">
        <f aca="false">IF($D128="",0,IF(AND(OR(Test!$B$4="Hepsi",$B128=Test!$B$4),OR(Test!$B$5="Hepsi",$C128=Test!$B$5)),1,0))</f>
        <v>1</v>
      </c>
      <c r="K128" s="10" t="n">
        <f aca="true">IF($J128=1,RAND(),-1)</f>
        <v>0.364862574556525</v>
      </c>
      <c r="L128" s="10" t="n">
        <f aca="false">IF($J128=1,RANK($K128,$K$2:$K$1001),"")</f>
        <v>152</v>
      </c>
    </row>
    <row r="129" customFormat="false" ht="26.85" hidden="false" customHeight="false" outlineLevel="0" collapsed="false">
      <c r="A129" s="12" t="n">
        <v>128</v>
      </c>
      <c r="B129" s="12" t="s">
        <v>265</v>
      </c>
      <c r="C129" s="12" t="s">
        <v>141</v>
      </c>
      <c r="D129" s="11" t="s">
        <v>306</v>
      </c>
      <c r="E129" s="12" t="s">
        <v>29</v>
      </c>
      <c r="F129" s="12" t="s">
        <v>31</v>
      </c>
      <c r="G129" s="12" t="s">
        <v>35</v>
      </c>
      <c r="H129" s="12" t="s">
        <v>34</v>
      </c>
      <c r="I129" s="12" t="s">
        <v>20</v>
      </c>
      <c r="J129" s="10" t="n">
        <f aca="false">IF($D129="",0,IF(AND(OR(Test!$B$4="Hepsi",$B129=Test!$B$4),OR(Test!$B$5="Hepsi",$C129=Test!$B$5)),1,0))</f>
        <v>1</v>
      </c>
      <c r="K129" s="10" t="n">
        <f aca="true">IF($J129=1,RAND(),-1)</f>
        <v>0.681277636107591</v>
      </c>
      <c r="L129" s="10" t="n">
        <f aca="false">IF($J129=1,RANK($K129,$K$2:$K$1001),"")</f>
        <v>82</v>
      </c>
    </row>
    <row r="130" customFormat="false" ht="26.85" hidden="false" customHeight="false" outlineLevel="0" collapsed="false">
      <c r="A130" s="12" t="n">
        <v>129</v>
      </c>
      <c r="B130" s="12" t="s">
        <v>265</v>
      </c>
      <c r="C130" s="12" t="s">
        <v>141</v>
      </c>
      <c r="D130" s="11" t="s">
        <v>307</v>
      </c>
      <c r="E130" s="12" t="s">
        <v>32</v>
      </c>
      <c r="F130" s="12" t="s">
        <v>197</v>
      </c>
      <c r="G130" s="12" t="s">
        <v>40</v>
      </c>
      <c r="H130" s="12" t="s">
        <v>38</v>
      </c>
      <c r="I130" s="12" t="s">
        <v>20</v>
      </c>
      <c r="J130" s="10" t="n">
        <f aca="false">IF($D130="",0,IF(AND(OR(Test!$B$4="Hepsi",$B130=Test!$B$4),OR(Test!$B$5="Hepsi",$C130=Test!$B$5)),1,0))</f>
        <v>1</v>
      </c>
      <c r="K130" s="10" t="n">
        <f aca="true">IF($J130=1,RAND(),-1)</f>
        <v>0.0619886456919915</v>
      </c>
      <c r="L130" s="10" t="n">
        <f aca="false">IF($J130=1,RANK($K130,$K$2:$K$1001),"")</f>
        <v>212</v>
      </c>
    </row>
    <row r="131" customFormat="false" ht="26.85" hidden="false" customHeight="false" outlineLevel="0" collapsed="false">
      <c r="A131" s="12" t="n">
        <v>130</v>
      </c>
      <c r="B131" s="12" t="s">
        <v>265</v>
      </c>
      <c r="C131" s="12" t="s">
        <v>141</v>
      </c>
      <c r="D131" s="11" t="s">
        <v>308</v>
      </c>
      <c r="E131" s="12" t="s">
        <v>31</v>
      </c>
      <c r="F131" s="12" t="s">
        <v>35</v>
      </c>
      <c r="G131" s="12" t="s">
        <v>29</v>
      </c>
      <c r="H131" s="12" t="s">
        <v>34</v>
      </c>
      <c r="I131" s="12" t="s">
        <v>19</v>
      </c>
      <c r="J131" s="10" t="n">
        <f aca="false">IF($D131="",0,IF(AND(OR(Test!$B$4="Hepsi",$B131=Test!$B$4),OR(Test!$B$5="Hepsi",$C131=Test!$B$5)),1,0))</f>
        <v>1</v>
      </c>
      <c r="K131" s="10" t="n">
        <f aca="true">IF($J131=1,RAND(),-1)</f>
        <v>0.594247697900076</v>
      </c>
      <c r="L131" s="10" t="n">
        <f aca="false">IF($J131=1,RANK($K131,$K$2:$K$1001),"")</f>
        <v>102</v>
      </c>
    </row>
    <row r="132" customFormat="false" ht="26.85" hidden="false" customHeight="false" outlineLevel="0" collapsed="false">
      <c r="A132" s="12" t="n">
        <v>131</v>
      </c>
      <c r="B132" s="12" t="s">
        <v>265</v>
      </c>
      <c r="C132" s="12" t="s">
        <v>141</v>
      </c>
      <c r="D132" s="11" t="s">
        <v>309</v>
      </c>
      <c r="E132" s="12" t="s">
        <v>44</v>
      </c>
      <c r="F132" s="12" t="s">
        <v>29</v>
      </c>
      <c r="G132" s="12" t="s">
        <v>45</v>
      </c>
      <c r="H132" s="12" t="s">
        <v>42</v>
      </c>
      <c r="I132" s="12" t="s">
        <v>21</v>
      </c>
      <c r="J132" s="10" t="n">
        <f aca="false">IF($D132="",0,IF(AND(OR(Test!$B$4="Hepsi",$B132=Test!$B$4),OR(Test!$B$5="Hepsi",$C132=Test!$B$5)),1,0))</f>
        <v>1</v>
      </c>
      <c r="K132" s="10" t="n">
        <f aca="true">IF($J132=1,RAND(),-1)</f>
        <v>0.195225623084306</v>
      </c>
      <c r="L132" s="10" t="n">
        <f aca="false">IF($J132=1,RANK($K132,$K$2:$K$1001),"")</f>
        <v>188</v>
      </c>
    </row>
    <row r="133" customFormat="false" ht="26.85" hidden="false" customHeight="false" outlineLevel="0" collapsed="false">
      <c r="A133" s="12" t="n">
        <v>132</v>
      </c>
      <c r="B133" s="12" t="s">
        <v>265</v>
      </c>
      <c r="C133" s="12" t="s">
        <v>141</v>
      </c>
      <c r="D133" s="11" t="s">
        <v>310</v>
      </c>
      <c r="E133" s="12" t="s">
        <v>34</v>
      </c>
      <c r="F133" s="12" t="s">
        <v>31</v>
      </c>
      <c r="G133" s="12" t="s">
        <v>35</v>
      </c>
      <c r="H133" s="12" t="s">
        <v>29</v>
      </c>
      <c r="I133" s="12" t="s">
        <v>20</v>
      </c>
      <c r="J133" s="10" t="n">
        <f aca="false">IF($D133="",0,IF(AND(OR(Test!$B$4="Hepsi",$B133=Test!$B$4),OR(Test!$B$5="Hepsi",$C133=Test!$B$5)),1,0))</f>
        <v>1</v>
      </c>
      <c r="K133" s="10" t="n">
        <f aca="true">IF($J133=1,RAND(),-1)</f>
        <v>0.704987817861447</v>
      </c>
      <c r="L133" s="10" t="n">
        <f aca="false">IF($J133=1,RANK($K133,$K$2:$K$1001),"")</f>
        <v>77</v>
      </c>
    </row>
    <row r="134" customFormat="false" ht="26.85" hidden="false" customHeight="false" outlineLevel="0" collapsed="false">
      <c r="A134" s="12" t="n">
        <v>133</v>
      </c>
      <c r="B134" s="12" t="s">
        <v>265</v>
      </c>
      <c r="C134" s="12" t="s">
        <v>141</v>
      </c>
      <c r="D134" s="11" t="s">
        <v>311</v>
      </c>
      <c r="E134" s="12" t="s">
        <v>32</v>
      </c>
      <c r="F134" s="12" t="s">
        <v>40</v>
      </c>
      <c r="G134" s="12" t="s">
        <v>38</v>
      </c>
      <c r="H134" s="12" t="s">
        <v>197</v>
      </c>
      <c r="I134" s="12" t="s">
        <v>19</v>
      </c>
      <c r="J134" s="10" t="n">
        <f aca="false">IF($D134="",0,IF(AND(OR(Test!$B$4="Hepsi",$B134=Test!$B$4),OR(Test!$B$5="Hepsi",$C134=Test!$B$5)),1,0))</f>
        <v>1</v>
      </c>
      <c r="K134" s="10" t="n">
        <f aca="true">IF($J134=1,RAND(),-1)</f>
        <v>0.305714296660201</v>
      </c>
      <c r="L134" s="10" t="n">
        <f aca="false">IF($J134=1,RANK($K134,$K$2:$K$1001),"")</f>
        <v>166</v>
      </c>
    </row>
    <row r="135" customFormat="false" ht="26.85" hidden="false" customHeight="false" outlineLevel="0" collapsed="false">
      <c r="A135" s="12" t="n">
        <v>134</v>
      </c>
      <c r="B135" s="12" t="s">
        <v>265</v>
      </c>
      <c r="C135" s="12" t="s">
        <v>141</v>
      </c>
      <c r="D135" s="11" t="s">
        <v>312</v>
      </c>
      <c r="E135" s="12" t="s">
        <v>29</v>
      </c>
      <c r="F135" s="12" t="s">
        <v>34</v>
      </c>
      <c r="G135" s="12" t="s">
        <v>31</v>
      </c>
      <c r="H135" s="12" t="s">
        <v>35</v>
      </c>
      <c r="I135" s="12" t="s">
        <v>21</v>
      </c>
      <c r="J135" s="10" t="n">
        <f aca="false">IF($D135="",0,IF(AND(OR(Test!$B$4="Hepsi",$B135=Test!$B$4),OR(Test!$B$5="Hepsi",$C135=Test!$B$5)),1,0))</f>
        <v>1</v>
      </c>
      <c r="K135" s="10" t="n">
        <f aca="true">IF($J135=1,RAND(),-1)</f>
        <v>0.42815538465626</v>
      </c>
      <c r="L135" s="10" t="n">
        <f aca="false">IF($J135=1,RANK($K135,$K$2:$K$1001),"")</f>
        <v>137</v>
      </c>
    </row>
    <row r="136" customFormat="false" ht="26.85" hidden="false" customHeight="false" outlineLevel="0" collapsed="false">
      <c r="A136" s="12" t="n">
        <v>135</v>
      </c>
      <c r="B136" s="12" t="s">
        <v>265</v>
      </c>
      <c r="C136" s="12" t="s">
        <v>141</v>
      </c>
      <c r="D136" s="11" t="s">
        <v>313</v>
      </c>
      <c r="E136" s="12" t="s">
        <v>45</v>
      </c>
      <c r="F136" s="12" t="s">
        <v>29</v>
      </c>
      <c r="G136" s="12" t="s">
        <v>44</v>
      </c>
      <c r="H136" s="12" t="s">
        <v>42</v>
      </c>
      <c r="I136" s="12" t="s">
        <v>21</v>
      </c>
      <c r="J136" s="10" t="n">
        <f aca="false">IF($D136="",0,IF(AND(OR(Test!$B$4="Hepsi",$B136=Test!$B$4),OR(Test!$B$5="Hepsi",$C136=Test!$B$5)),1,0))</f>
        <v>1</v>
      </c>
      <c r="K136" s="10" t="n">
        <f aca="true">IF($J136=1,RAND(),-1)</f>
        <v>0.709082790030487</v>
      </c>
      <c r="L136" s="10" t="n">
        <f aca="false">IF($J136=1,RANK($K136,$K$2:$K$1001),"")</f>
        <v>76</v>
      </c>
    </row>
    <row r="137" customFormat="false" ht="26.85" hidden="false" customHeight="false" outlineLevel="0" collapsed="false">
      <c r="A137" s="12" t="n">
        <v>136</v>
      </c>
      <c r="B137" s="12" t="s">
        <v>265</v>
      </c>
      <c r="C137" s="12" t="s">
        <v>141</v>
      </c>
      <c r="D137" s="11" t="s">
        <v>314</v>
      </c>
      <c r="E137" s="12" t="s">
        <v>32</v>
      </c>
      <c r="F137" s="12" t="s">
        <v>197</v>
      </c>
      <c r="G137" s="12" t="s">
        <v>38</v>
      </c>
      <c r="H137" s="12" t="s">
        <v>40</v>
      </c>
      <c r="I137" s="12" t="s">
        <v>21</v>
      </c>
      <c r="J137" s="10" t="n">
        <f aca="false">IF($D137="",0,IF(AND(OR(Test!$B$4="Hepsi",$B137=Test!$B$4),OR(Test!$B$5="Hepsi",$C137=Test!$B$5)),1,0))</f>
        <v>1</v>
      </c>
      <c r="K137" s="10" t="n">
        <f aca="true">IF($J137=1,RAND(),-1)</f>
        <v>0.414550121258611</v>
      </c>
      <c r="L137" s="10" t="n">
        <f aca="false">IF($J137=1,RANK($K137,$K$2:$K$1001),"")</f>
        <v>141</v>
      </c>
    </row>
    <row r="138" customFormat="false" ht="26.85" hidden="false" customHeight="false" outlineLevel="0" collapsed="false">
      <c r="A138" s="12" t="n">
        <v>137</v>
      </c>
      <c r="B138" s="12" t="s">
        <v>265</v>
      </c>
      <c r="C138" s="12" t="s">
        <v>141</v>
      </c>
      <c r="D138" s="11" t="s">
        <v>315</v>
      </c>
      <c r="E138" s="12" t="s">
        <v>48</v>
      </c>
      <c r="F138" s="12" t="s">
        <v>50</v>
      </c>
      <c r="G138" s="12" t="s">
        <v>49</v>
      </c>
      <c r="H138" s="12" t="s">
        <v>144</v>
      </c>
      <c r="I138" s="12" t="s">
        <v>18</v>
      </c>
      <c r="J138" s="10" t="n">
        <f aca="false">IF($D138="",0,IF(AND(OR(Test!$B$4="Hepsi",$B138=Test!$B$4),OR(Test!$B$5="Hepsi",$C138=Test!$B$5)),1,0))</f>
        <v>1</v>
      </c>
      <c r="K138" s="10" t="n">
        <f aca="true">IF($J138=1,RAND(),-1)</f>
        <v>0.173858022146357</v>
      </c>
      <c r="L138" s="10" t="n">
        <f aca="false">IF($J138=1,RANK($K138,$K$2:$K$1001),"")</f>
        <v>192</v>
      </c>
    </row>
    <row r="139" customFormat="false" ht="26.85" hidden="false" customHeight="false" outlineLevel="0" collapsed="false">
      <c r="A139" s="12" t="n">
        <v>138</v>
      </c>
      <c r="B139" s="12" t="s">
        <v>265</v>
      </c>
      <c r="C139" s="12" t="s">
        <v>141</v>
      </c>
      <c r="D139" s="11" t="s">
        <v>316</v>
      </c>
      <c r="E139" s="12" t="s">
        <v>55</v>
      </c>
      <c r="F139" s="12" t="s">
        <v>44</v>
      </c>
      <c r="G139" s="12" t="s">
        <v>152</v>
      </c>
      <c r="H139" s="12" t="s">
        <v>62</v>
      </c>
      <c r="I139" s="12" t="s">
        <v>21</v>
      </c>
      <c r="J139" s="10" t="n">
        <f aca="false">IF($D139="",0,IF(AND(OR(Test!$B$4="Hepsi",$B139=Test!$B$4),OR(Test!$B$5="Hepsi",$C139=Test!$B$5)),1,0))</f>
        <v>1</v>
      </c>
      <c r="K139" s="10" t="n">
        <f aca="true">IF($J139=1,RAND(),-1)</f>
        <v>0.599760520611638</v>
      </c>
      <c r="L139" s="10" t="n">
        <f aca="false">IF($J139=1,RANK($K139,$K$2:$K$1001),"")</f>
        <v>99</v>
      </c>
    </row>
    <row r="140" customFormat="false" ht="26.85" hidden="false" customHeight="false" outlineLevel="0" collapsed="false">
      <c r="A140" s="12" t="n">
        <v>139</v>
      </c>
      <c r="B140" s="12" t="s">
        <v>265</v>
      </c>
      <c r="C140" s="12" t="s">
        <v>141</v>
      </c>
      <c r="D140" s="11" t="s">
        <v>317</v>
      </c>
      <c r="E140" s="12" t="s">
        <v>197</v>
      </c>
      <c r="F140" s="12" t="s">
        <v>160</v>
      </c>
      <c r="G140" s="12" t="s">
        <v>54</v>
      </c>
      <c r="H140" s="12" t="s">
        <v>55</v>
      </c>
      <c r="I140" s="12" t="s">
        <v>18</v>
      </c>
      <c r="J140" s="10" t="n">
        <f aca="false">IF($D140="",0,IF(AND(OR(Test!$B$4="Hepsi",$B140=Test!$B$4),OR(Test!$B$5="Hepsi",$C140=Test!$B$5)),1,0))</f>
        <v>1</v>
      </c>
      <c r="K140" s="10" t="n">
        <f aca="true">IF($J140=1,RAND(),-1)</f>
        <v>0.413377285277045</v>
      </c>
      <c r="L140" s="10" t="n">
        <f aca="false">IF($J140=1,RANK($K140,$K$2:$K$1001),"")</f>
        <v>142</v>
      </c>
    </row>
    <row r="141" customFormat="false" ht="26.85" hidden="false" customHeight="false" outlineLevel="0" collapsed="false">
      <c r="A141" s="12" t="n">
        <v>140</v>
      </c>
      <c r="B141" s="12" t="s">
        <v>265</v>
      </c>
      <c r="C141" s="12" t="s">
        <v>141</v>
      </c>
      <c r="D141" s="11" t="s">
        <v>318</v>
      </c>
      <c r="E141" s="12" t="s">
        <v>224</v>
      </c>
      <c r="F141" s="12" t="s">
        <v>173</v>
      </c>
      <c r="G141" s="12" t="s">
        <v>70</v>
      </c>
      <c r="H141" s="12" t="s">
        <v>155</v>
      </c>
      <c r="I141" s="12" t="s">
        <v>18</v>
      </c>
      <c r="J141" s="10" t="n">
        <f aca="false">IF($D141="",0,IF(AND(OR(Test!$B$4="Hepsi",$B141=Test!$B$4),OR(Test!$B$5="Hepsi",$C141=Test!$B$5)),1,0))</f>
        <v>1</v>
      </c>
      <c r="K141" s="10" t="n">
        <f aca="true">IF($J141=1,RAND(),-1)</f>
        <v>0.139133874352596</v>
      </c>
      <c r="L141" s="10" t="n">
        <f aca="false">IF($J141=1,RANK($K141,$K$2:$K$1001),"")</f>
        <v>198</v>
      </c>
    </row>
    <row r="142" customFormat="false" ht="26.85" hidden="false" customHeight="false" outlineLevel="0" collapsed="false">
      <c r="A142" s="12" t="n">
        <v>141</v>
      </c>
      <c r="B142" s="12" t="s">
        <v>265</v>
      </c>
      <c r="C142" s="12" t="s">
        <v>141</v>
      </c>
      <c r="D142" s="11" t="s">
        <v>319</v>
      </c>
      <c r="E142" s="12" t="s">
        <v>320</v>
      </c>
      <c r="F142" s="12" t="s">
        <v>321</v>
      </c>
      <c r="G142" s="12" t="s">
        <v>322</v>
      </c>
      <c r="H142" s="12" t="s">
        <v>286</v>
      </c>
      <c r="I142" s="12" t="s">
        <v>19</v>
      </c>
      <c r="J142" s="10" t="n">
        <f aca="false">IF($D142="",0,IF(AND(OR(Test!$B$4="Hepsi",$B142=Test!$B$4),OR(Test!$B$5="Hepsi",$C142=Test!$B$5)),1,0))</f>
        <v>1</v>
      </c>
      <c r="K142" s="10" t="n">
        <f aca="true">IF($J142=1,RAND(),-1)</f>
        <v>0.608086185590007</v>
      </c>
      <c r="L142" s="10" t="n">
        <f aca="false">IF($J142=1,RANK($K142,$K$2:$K$1001),"")</f>
        <v>96</v>
      </c>
    </row>
    <row r="143" customFormat="false" ht="26.85" hidden="false" customHeight="false" outlineLevel="0" collapsed="false">
      <c r="A143" s="12" t="n">
        <v>142</v>
      </c>
      <c r="B143" s="12" t="s">
        <v>265</v>
      </c>
      <c r="C143" s="12" t="s">
        <v>141</v>
      </c>
      <c r="D143" s="11" t="s">
        <v>323</v>
      </c>
      <c r="E143" s="12" t="s">
        <v>286</v>
      </c>
      <c r="F143" s="12" t="s">
        <v>53</v>
      </c>
      <c r="G143" s="12" t="s">
        <v>163</v>
      </c>
      <c r="H143" s="12" t="s">
        <v>324</v>
      </c>
      <c r="I143" s="12" t="s">
        <v>21</v>
      </c>
      <c r="J143" s="10" t="n">
        <f aca="false">IF($D143="",0,IF(AND(OR(Test!$B$4="Hepsi",$B143=Test!$B$4),OR(Test!$B$5="Hepsi",$C143=Test!$B$5)),1,0))</f>
        <v>1</v>
      </c>
      <c r="K143" s="10" t="n">
        <f aca="true">IF($J143=1,RAND(),-1)</f>
        <v>0.160115914510948</v>
      </c>
      <c r="L143" s="10" t="n">
        <f aca="false">IF($J143=1,RANK($K143,$K$2:$K$1001),"")</f>
        <v>193</v>
      </c>
    </row>
    <row r="144" customFormat="false" ht="26.85" hidden="false" customHeight="false" outlineLevel="0" collapsed="false">
      <c r="A144" s="12" t="n">
        <v>143</v>
      </c>
      <c r="B144" s="12" t="s">
        <v>265</v>
      </c>
      <c r="C144" s="12" t="s">
        <v>141</v>
      </c>
      <c r="D144" s="11" t="s">
        <v>325</v>
      </c>
      <c r="E144" s="12" t="s">
        <v>207</v>
      </c>
      <c r="F144" s="12" t="s">
        <v>326</v>
      </c>
      <c r="G144" s="12" t="s">
        <v>327</v>
      </c>
      <c r="H144" s="12" t="s">
        <v>70</v>
      </c>
      <c r="I144" s="12" t="s">
        <v>20</v>
      </c>
      <c r="J144" s="10" t="n">
        <f aca="false">IF($D144="",0,IF(AND(OR(Test!$B$4="Hepsi",$B144=Test!$B$4),OR(Test!$B$5="Hepsi",$C144=Test!$B$5)),1,0))</f>
        <v>1</v>
      </c>
      <c r="K144" s="10" t="n">
        <f aca="true">IF($J144=1,RAND(),-1)</f>
        <v>0.946953679266957</v>
      </c>
      <c r="L144" s="10" t="n">
        <f aca="false">IF($J144=1,RANK($K144,$K$2:$K$1001),"")</f>
        <v>17</v>
      </c>
    </row>
    <row r="145" customFormat="false" ht="26.85" hidden="false" customHeight="false" outlineLevel="0" collapsed="false">
      <c r="A145" s="12" t="n">
        <v>144</v>
      </c>
      <c r="B145" s="12" t="s">
        <v>265</v>
      </c>
      <c r="C145" s="12" t="s">
        <v>217</v>
      </c>
      <c r="D145" s="11" t="s">
        <v>328</v>
      </c>
      <c r="E145" s="12" t="s">
        <v>176</v>
      </c>
      <c r="F145" s="12" t="s">
        <v>30</v>
      </c>
      <c r="G145" s="12" t="s">
        <v>40</v>
      </c>
      <c r="H145" s="12" t="s">
        <v>144</v>
      </c>
      <c r="I145" s="12" t="s">
        <v>18</v>
      </c>
      <c r="J145" s="10" t="n">
        <f aca="false">IF($D145="",0,IF(AND(OR(Test!$B$4="Hepsi",$B145=Test!$B$4),OR(Test!$B$5="Hepsi",$C145=Test!$B$5)),1,0))</f>
        <v>1</v>
      </c>
      <c r="K145" s="10" t="n">
        <f aca="true">IF($J145=1,RAND(),-1)</f>
        <v>0.854942386004297</v>
      </c>
      <c r="L145" s="10" t="n">
        <f aca="false">IF($J145=1,RANK($K145,$K$2:$K$1001),"")</f>
        <v>40</v>
      </c>
    </row>
    <row r="146" customFormat="false" ht="26.85" hidden="false" customHeight="false" outlineLevel="0" collapsed="false">
      <c r="A146" s="12" t="n">
        <v>145</v>
      </c>
      <c r="B146" s="12" t="s">
        <v>265</v>
      </c>
      <c r="C146" s="12" t="s">
        <v>217</v>
      </c>
      <c r="D146" s="11" t="s">
        <v>329</v>
      </c>
      <c r="E146" s="12" t="s">
        <v>42</v>
      </c>
      <c r="F146" s="12" t="s">
        <v>44</v>
      </c>
      <c r="G146" s="12" t="s">
        <v>330</v>
      </c>
      <c r="H146" s="12" t="s">
        <v>35</v>
      </c>
      <c r="I146" s="12" t="s">
        <v>20</v>
      </c>
      <c r="J146" s="10" t="n">
        <f aca="false">IF($D146="",0,IF(AND(OR(Test!$B$4="Hepsi",$B146=Test!$B$4),OR(Test!$B$5="Hepsi",$C146=Test!$B$5)),1,0))</f>
        <v>1</v>
      </c>
      <c r="K146" s="10" t="n">
        <f aca="true">IF($J146=1,RAND(),-1)</f>
        <v>0.507205127115467</v>
      </c>
      <c r="L146" s="10" t="n">
        <f aca="false">IF($J146=1,RANK($K146,$K$2:$K$1001),"")</f>
        <v>119</v>
      </c>
    </row>
    <row r="147" customFormat="false" ht="26.85" hidden="false" customHeight="false" outlineLevel="0" collapsed="false">
      <c r="A147" s="12" t="n">
        <v>146</v>
      </c>
      <c r="B147" s="12" t="s">
        <v>265</v>
      </c>
      <c r="C147" s="12" t="s">
        <v>217</v>
      </c>
      <c r="D147" s="11" t="s">
        <v>331</v>
      </c>
      <c r="E147" s="12" t="s">
        <v>332</v>
      </c>
      <c r="F147" s="12" t="s">
        <v>30</v>
      </c>
      <c r="G147" s="12" t="s">
        <v>42</v>
      </c>
      <c r="H147" s="12" t="s">
        <v>147</v>
      </c>
      <c r="I147" s="12" t="s">
        <v>18</v>
      </c>
      <c r="J147" s="10" t="n">
        <f aca="false">IF($D147="",0,IF(AND(OR(Test!$B$4="Hepsi",$B147=Test!$B$4),OR(Test!$B$5="Hepsi",$C147=Test!$B$5)),1,0))</f>
        <v>1</v>
      </c>
      <c r="K147" s="10" t="n">
        <f aca="true">IF($J147=1,RAND(),-1)</f>
        <v>0.795670140648793</v>
      </c>
      <c r="L147" s="10" t="n">
        <f aca="false">IF($J147=1,RANK($K147,$K$2:$K$1001),"")</f>
        <v>56</v>
      </c>
    </row>
    <row r="148" customFormat="false" ht="26.85" hidden="false" customHeight="false" outlineLevel="0" collapsed="false">
      <c r="A148" s="12" t="n">
        <v>147</v>
      </c>
      <c r="B148" s="12" t="s">
        <v>265</v>
      </c>
      <c r="C148" s="12" t="s">
        <v>217</v>
      </c>
      <c r="D148" s="11" t="s">
        <v>333</v>
      </c>
      <c r="E148" s="12" t="s">
        <v>45</v>
      </c>
      <c r="F148" s="12" t="s">
        <v>334</v>
      </c>
      <c r="G148" s="12" t="s">
        <v>48</v>
      </c>
      <c r="H148" s="12" t="s">
        <v>35</v>
      </c>
      <c r="I148" s="12" t="s">
        <v>19</v>
      </c>
      <c r="J148" s="10" t="n">
        <f aca="false">IF($D148="",0,IF(AND(OR(Test!$B$4="Hepsi",$B148=Test!$B$4),OR(Test!$B$5="Hepsi",$C148=Test!$B$5)),1,0))</f>
        <v>1</v>
      </c>
      <c r="K148" s="10" t="n">
        <f aca="true">IF($J148=1,RAND(),-1)</f>
        <v>0.0149257459333267</v>
      </c>
      <c r="L148" s="10" t="n">
        <f aca="false">IF($J148=1,RANK($K148,$K$2:$K$1001),"")</f>
        <v>224</v>
      </c>
    </row>
    <row r="149" customFormat="false" ht="26.85" hidden="false" customHeight="false" outlineLevel="0" collapsed="false">
      <c r="A149" s="12" t="n">
        <v>148</v>
      </c>
      <c r="B149" s="12" t="s">
        <v>265</v>
      </c>
      <c r="C149" s="12" t="s">
        <v>217</v>
      </c>
      <c r="D149" s="11" t="s">
        <v>335</v>
      </c>
      <c r="E149" s="12" t="s">
        <v>189</v>
      </c>
      <c r="F149" s="12" t="s">
        <v>35</v>
      </c>
      <c r="G149" s="12" t="s">
        <v>40</v>
      </c>
      <c r="H149" s="12" t="s">
        <v>30</v>
      </c>
      <c r="I149" s="12" t="s">
        <v>18</v>
      </c>
      <c r="J149" s="10" t="n">
        <f aca="false">IF($D149="",0,IF(AND(OR(Test!$B$4="Hepsi",$B149=Test!$B$4),OR(Test!$B$5="Hepsi",$C149=Test!$B$5)),1,0))</f>
        <v>1</v>
      </c>
      <c r="K149" s="10" t="n">
        <f aca="true">IF($J149=1,RAND(),-1)</f>
        <v>0.556788747325838</v>
      </c>
      <c r="L149" s="10" t="n">
        <f aca="false">IF($J149=1,RANK($K149,$K$2:$K$1001),"")</f>
        <v>107</v>
      </c>
    </row>
    <row r="150" customFormat="false" ht="26.85" hidden="false" customHeight="false" outlineLevel="0" collapsed="false">
      <c r="A150" s="12" t="n">
        <v>149</v>
      </c>
      <c r="B150" s="12" t="s">
        <v>265</v>
      </c>
      <c r="C150" s="12" t="s">
        <v>217</v>
      </c>
      <c r="D150" s="11" t="s">
        <v>336</v>
      </c>
      <c r="E150" s="12" t="s">
        <v>48</v>
      </c>
      <c r="F150" s="12" t="s">
        <v>38</v>
      </c>
      <c r="G150" s="12" t="s">
        <v>30</v>
      </c>
      <c r="H150" s="12" t="s">
        <v>337</v>
      </c>
      <c r="I150" s="12" t="s">
        <v>21</v>
      </c>
      <c r="J150" s="10" t="n">
        <f aca="false">IF($D150="",0,IF(AND(OR(Test!$B$4="Hepsi",$B150=Test!$B$4),OR(Test!$B$5="Hepsi",$C150=Test!$B$5)),1,0))</f>
        <v>1</v>
      </c>
      <c r="K150" s="10" t="n">
        <f aca="true">IF($J150=1,RAND(),-1)</f>
        <v>0.584127369565144</v>
      </c>
      <c r="L150" s="10" t="n">
        <f aca="false">IF($J150=1,RANK($K150,$K$2:$K$1001),"")</f>
        <v>104</v>
      </c>
    </row>
    <row r="151" customFormat="false" ht="26.85" hidden="false" customHeight="false" outlineLevel="0" collapsed="false">
      <c r="A151" s="12" t="n">
        <v>150</v>
      </c>
      <c r="B151" s="12" t="s">
        <v>265</v>
      </c>
      <c r="C151" s="12" t="s">
        <v>217</v>
      </c>
      <c r="D151" s="11" t="s">
        <v>338</v>
      </c>
      <c r="E151" s="12" t="s">
        <v>40</v>
      </c>
      <c r="F151" s="12" t="s">
        <v>219</v>
      </c>
      <c r="G151" s="12" t="s">
        <v>48</v>
      </c>
      <c r="H151" s="12" t="s">
        <v>59</v>
      </c>
      <c r="I151" s="12" t="s">
        <v>19</v>
      </c>
      <c r="J151" s="10" t="n">
        <f aca="false">IF($D151="",0,IF(AND(OR(Test!$B$4="Hepsi",$B151=Test!$B$4),OR(Test!$B$5="Hepsi",$C151=Test!$B$5)),1,0))</f>
        <v>1</v>
      </c>
      <c r="K151" s="10" t="n">
        <f aca="true">IF($J151=1,RAND(),-1)</f>
        <v>0.207853958156584</v>
      </c>
      <c r="L151" s="10" t="n">
        <f aca="false">IF($J151=1,RANK($K151,$K$2:$K$1001),"")</f>
        <v>187</v>
      </c>
    </row>
    <row r="152" customFormat="false" ht="26.85" hidden="false" customHeight="false" outlineLevel="0" collapsed="false">
      <c r="A152" s="12" t="n">
        <v>151</v>
      </c>
      <c r="B152" s="12" t="s">
        <v>265</v>
      </c>
      <c r="C152" s="12" t="s">
        <v>217</v>
      </c>
      <c r="D152" s="11" t="s">
        <v>339</v>
      </c>
      <c r="E152" s="12" t="s">
        <v>181</v>
      </c>
      <c r="F152" s="12" t="s">
        <v>42</v>
      </c>
      <c r="G152" s="12" t="s">
        <v>50</v>
      </c>
      <c r="H152" s="12" t="s">
        <v>40</v>
      </c>
      <c r="I152" s="12" t="s">
        <v>18</v>
      </c>
      <c r="J152" s="10" t="n">
        <f aca="false">IF($D152="",0,IF(AND(OR(Test!$B$4="Hepsi",$B152=Test!$B$4),OR(Test!$B$5="Hepsi",$C152=Test!$B$5)),1,0))</f>
        <v>1</v>
      </c>
      <c r="K152" s="10" t="n">
        <f aca="true">IF($J152=1,RAND(),-1)</f>
        <v>0.725881988500393</v>
      </c>
      <c r="L152" s="10" t="n">
        <f aca="false">IF($J152=1,RANK($K152,$K$2:$K$1001),"")</f>
        <v>69</v>
      </c>
    </row>
    <row r="153" customFormat="false" ht="26.85" hidden="false" customHeight="false" outlineLevel="0" collapsed="false">
      <c r="A153" s="12" t="n">
        <v>152</v>
      </c>
      <c r="B153" s="12" t="s">
        <v>265</v>
      </c>
      <c r="C153" s="12" t="s">
        <v>217</v>
      </c>
      <c r="D153" s="11" t="s">
        <v>340</v>
      </c>
      <c r="E153" s="12" t="s">
        <v>341</v>
      </c>
      <c r="F153" s="12" t="s">
        <v>342</v>
      </c>
      <c r="G153" s="12" t="s">
        <v>343</v>
      </c>
      <c r="H153" s="12" t="s">
        <v>344</v>
      </c>
      <c r="I153" s="12" t="s">
        <v>18</v>
      </c>
      <c r="J153" s="10" t="n">
        <f aca="false">IF($D153="",0,IF(AND(OR(Test!$B$4="Hepsi",$B153=Test!$B$4),OR(Test!$B$5="Hepsi",$C153=Test!$B$5)),1,0))</f>
        <v>1</v>
      </c>
      <c r="K153" s="10" t="n">
        <f aca="true">IF($J153=1,RAND(),-1)</f>
        <v>0.531139959506004</v>
      </c>
      <c r="L153" s="10" t="n">
        <f aca="false">IF($J153=1,RANK($K153,$K$2:$K$1001),"")</f>
        <v>116</v>
      </c>
    </row>
    <row r="154" customFormat="false" ht="26.85" hidden="false" customHeight="false" outlineLevel="0" collapsed="false">
      <c r="A154" s="12" t="n">
        <v>153</v>
      </c>
      <c r="B154" s="12" t="s">
        <v>265</v>
      </c>
      <c r="C154" s="12" t="s">
        <v>217</v>
      </c>
      <c r="D154" s="11" t="s">
        <v>345</v>
      </c>
      <c r="E154" s="12" t="s">
        <v>346</v>
      </c>
      <c r="F154" s="12" t="s">
        <v>347</v>
      </c>
      <c r="G154" s="12" t="s">
        <v>348</v>
      </c>
      <c r="H154" s="12" t="s">
        <v>349</v>
      </c>
      <c r="I154" s="12" t="s">
        <v>20</v>
      </c>
      <c r="J154" s="10" t="n">
        <f aca="false">IF($D154="",0,IF(AND(OR(Test!$B$4="Hepsi",$B154=Test!$B$4),OR(Test!$B$5="Hepsi",$C154=Test!$B$5)),1,0))</f>
        <v>1</v>
      </c>
      <c r="K154" s="10" t="n">
        <f aca="true">IF($J154=1,RAND(),-1)</f>
        <v>0.827471955594048</v>
      </c>
      <c r="L154" s="10" t="n">
        <f aca="false">IF($J154=1,RANK($K154,$K$2:$K$1001),"")</f>
        <v>46</v>
      </c>
    </row>
    <row r="155" customFormat="false" ht="26.85" hidden="false" customHeight="false" outlineLevel="0" collapsed="false">
      <c r="A155" s="12" t="n">
        <v>154</v>
      </c>
      <c r="B155" s="12" t="s">
        <v>265</v>
      </c>
      <c r="C155" s="12" t="s">
        <v>217</v>
      </c>
      <c r="D155" s="11" t="s">
        <v>350</v>
      </c>
      <c r="E155" s="12" t="s">
        <v>351</v>
      </c>
      <c r="F155" s="12" t="s">
        <v>352</v>
      </c>
      <c r="G155" s="12" t="s">
        <v>353</v>
      </c>
      <c r="H155" s="12" t="s">
        <v>354</v>
      </c>
      <c r="I155" s="12" t="s">
        <v>19</v>
      </c>
      <c r="J155" s="10" t="n">
        <f aca="false">IF($D155="",0,IF(AND(OR(Test!$B$4="Hepsi",$B155=Test!$B$4),OR(Test!$B$5="Hepsi",$C155=Test!$B$5)),1,0))</f>
        <v>1</v>
      </c>
      <c r="K155" s="10" t="n">
        <f aca="true">IF($J155=1,RAND(),-1)</f>
        <v>0.0334957027072327</v>
      </c>
      <c r="L155" s="10" t="n">
        <f aca="false">IF($J155=1,RANK($K155,$K$2:$K$1001),"")</f>
        <v>218</v>
      </c>
    </row>
    <row r="156" customFormat="false" ht="26.85" hidden="false" customHeight="false" outlineLevel="0" collapsed="false">
      <c r="A156" s="12" t="n">
        <v>155</v>
      </c>
      <c r="B156" s="12" t="s">
        <v>265</v>
      </c>
      <c r="C156" s="12" t="s">
        <v>217</v>
      </c>
      <c r="D156" s="11" t="s">
        <v>355</v>
      </c>
      <c r="E156" s="12" t="s">
        <v>356</v>
      </c>
      <c r="F156" s="12" t="s">
        <v>357</v>
      </c>
      <c r="G156" s="12" t="s">
        <v>358</v>
      </c>
      <c r="H156" s="12" t="s">
        <v>359</v>
      </c>
      <c r="I156" s="12" t="s">
        <v>20</v>
      </c>
      <c r="J156" s="10" t="n">
        <f aca="false">IF($D156="",0,IF(AND(OR(Test!$B$4="Hepsi",$B156=Test!$B$4),OR(Test!$B$5="Hepsi",$C156=Test!$B$5)),1,0))</f>
        <v>1</v>
      </c>
      <c r="K156" s="10" t="n">
        <f aca="true">IF($J156=1,RAND(),-1)</f>
        <v>0.370516905554842</v>
      </c>
      <c r="L156" s="10" t="n">
        <f aca="false">IF($J156=1,RANK($K156,$K$2:$K$1001),"")</f>
        <v>151</v>
      </c>
    </row>
    <row r="157" customFormat="false" ht="26.85" hidden="false" customHeight="false" outlineLevel="0" collapsed="false">
      <c r="A157" s="12" t="n">
        <v>156</v>
      </c>
      <c r="B157" s="12" t="s">
        <v>265</v>
      </c>
      <c r="C157" s="12" t="s">
        <v>217</v>
      </c>
      <c r="D157" s="11" t="s">
        <v>360</v>
      </c>
      <c r="E157" s="12" t="s">
        <v>361</v>
      </c>
      <c r="F157" s="12" t="s">
        <v>362</v>
      </c>
      <c r="G157" s="12" t="s">
        <v>363</v>
      </c>
      <c r="H157" s="12" t="s">
        <v>364</v>
      </c>
      <c r="I157" s="12" t="s">
        <v>18</v>
      </c>
      <c r="J157" s="10" t="n">
        <f aca="false">IF($D157="",0,IF(AND(OR(Test!$B$4="Hepsi",$B157=Test!$B$4),OR(Test!$B$5="Hepsi",$C157=Test!$B$5)),1,0))</f>
        <v>1</v>
      </c>
      <c r="K157" s="10" t="n">
        <f aca="true">IF($J157=1,RAND(),-1)</f>
        <v>0.284768112790164</v>
      </c>
      <c r="L157" s="10" t="n">
        <f aca="false">IF($J157=1,RANK($K157,$K$2:$K$1001),"")</f>
        <v>172</v>
      </c>
    </row>
    <row r="158" customFormat="false" ht="26.85" hidden="false" customHeight="false" outlineLevel="0" collapsed="false">
      <c r="A158" s="12" t="n">
        <v>157</v>
      </c>
      <c r="B158" s="12" t="s">
        <v>265</v>
      </c>
      <c r="C158" s="12" t="s">
        <v>217</v>
      </c>
      <c r="D158" s="11" t="s">
        <v>365</v>
      </c>
      <c r="E158" s="12" t="s">
        <v>366</v>
      </c>
      <c r="F158" s="12" t="s">
        <v>367</v>
      </c>
      <c r="G158" s="12" t="s">
        <v>368</v>
      </c>
      <c r="H158" s="12" t="s">
        <v>369</v>
      </c>
      <c r="I158" s="12" t="s">
        <v>18</v>
      </c>
      <c r="J158" s="10" t="n">
        <f aca="false">IF($D158="",0,IF(AND(OR(Test!$B$4="Hepsi",$B158=Test!$B$4),OR(Test!$B$5="Hepsi",$C158=Test!$B$5)),1,0))</f>
        <v>1</v>
      </c>
      <c r="K158" s="10" t="n">
        <f aca="true">IF($J158=1,RAND(),-1)</f>
        <v>0.955810481614674</v>
      </c>
      <c r="L158" s="10" t="n">
        <f aca="false">IF($J158=1,RANK($K158,$K$2:$K$1001),"")</f>
        <v>15</v>
      </c>
    </row>
    <row r="159" customFormat="false" ht="26.85" hidden="false" customHeight="false" outlineLevel="0" collapsed="false">
      <c r="A159" s="12" t="n">
        <v>158</v>
      </c>
      <c r="B159" s="12" t="s">
        <v>265</v>
      </c>
      <c r="C159" s="12" t="s">
        <v>217</v>
      </c>
      <c r="D159" s="11" t="s">
        <v>370</v>
      </c>
      <c r="E159" s="12" t="s">
        <v>371</v>
      </c>
      <c r="F159" s="12" t="s">
        <v>352</v>
      </c>
      <c r="G159" s="12" t="s">
        <v>344</v>
      </c>
      <c r="H159" s="12" t="s">
        <v>372</v>
      </c>
      <c r="I159" s="12" t="s">
        <v>18</v>
      </c>
      <c r="J159" s="10" t="n">
        <f aca="false">IF($D159="",0,IF(AND(OR(Test!$B$4="Hepsi",$B159=Test!$B$4),OR(Test!$B$5="Hepsi",$C159=Test!$B$5)),1,0))</f>
        <v>1</v>
      </c>
      <c r="K159" s="10" t="n">
        <f aca="true">IF($J159=1,RAND(),-1)</f>
        <v>0.0456701680033478</v>
      </c>
      <c r="L159" s="10" t="n">
        <f aca="false">IF($J159=1,RANK($K159,$K$2:$K$1001),"")</f>
        <v>216</v>
      </c>
    </row>
    <row r="160" customFormat="false" ht="26.85" hidden="false" customHeight="false" outlineLevel="0" collapsed="false">
      <c r="A160" s="12" t="n">
        <v>159</v>
      </c>
      <c r="B160" s="12" t="s">
        <v>265</v>
      </c>
      <c r="C160" s="12" t="s">
        <v>217</v>
      </c>
      <c r="D160" s="11" t="s">
        <v>373</v>
      </c>
      <c r="E160" s="12" t="s">
        <v>374</v>
      </c>
      <c r="F160" s="12" t="s">
        <v>375</v>
      </c>
      <c r="G160" s="12" t="s">
        <v>348</v>
      </c>
      <c r="H160" s="12" t="s">
        <v>376</v>
      </c>
      <c r="I160" s="12" t="s">
        <v>18</v>
      </c>
      <c r="J160" s="10" t="n">
        <f aca="false">IF($D160="",0,IF(AND(OR(Test!$B$4="Hepsi",$B160=Test!$B$4),OR(Test!$B$5="Hepsi",$C160=Test!$B$5)),1,0))</f>
        <v>1</v>
      </c>
      <c r="K160" s="10" t="n">
        <f aca="true">IF($J160=1,RAND(),-1)</f>
        <v>0.629204407540554</v>
      </c>
      <c r="L160" s="10" t="n">
        <f aca="false">IF($J160=1,RANK($K160,$K$2:$K$1001),"")</f>
        <v>92</v>
      </c>
    </row>
    <row r="161" customFormat="false" ht="26.85" hidden="false" customHeight="false" outlineLevel="0" collapsed="false">
      <c r="A161" s="12" t="n">
        <v>160</v>
      </c>
      <c r="B161" s="12" t="s">
        <v>265</v>
      </c>
      <c r="C161" s="12" t="s">
        <v>217</v>
      </c>
      <c r="D161" s="11" t="s">
        <v>377</v>
      </c>
      <c r="E161" s="12" t="s">
        <v>378</v>
      </c>
      <c r="F161" s="12" t="s">
        <v>379</v>
      </c>
      <c r="G161" s="12" t="s">
        <v>380</v>
      </c>
      <c r="H161" s="12" t="s">
        <v>381</v>
      </c>
      <c r="I161" s="12" t="s">
        <v>18</v>
      </c>
      <c r="J161" s="10" t="n">
        <f aca="false">IF($D161="",0,IF(AND(OR(Test!$B$4="Hepsi",$B161=Test!$B$4),OR(Test!$B$5="Hepsi",$C161=Test!$B$5)),1,0))</f>
        <v>1</v>
      </c>
      <c r="K161" s="10" t="n">
        <f aca="true">IF($J161=1,RAND(),-1)</f>
        <v>0.856450828399992</v>
      </c>
      <c r="L161" s="10" t="n">
        <f aca="false">IF($J161=1,RANK($K161,$K$2:$K$1001),"")</f>
        <v>39</v>
      </c>
    </row>
    <row r="162" customFormat="false" ht="26.85" hidden="false" customHeight="false" outlineLevel="0" collapsed="false">
      <c r="A162" s="12" t="n">
        <v>161</v>
      </c>
      <c r="B162" s="12" t="s">
        <v>265</v>
      </c>
      <c r="C162" s="12" t="s">
        <v>217</v>
      </c>
      <c r="D162" s="11" t="s">
        <v>382</v>
      </c>
      <c r="E162" s="12" t="s">
        <v>341</v>
      </c>
      <c r="F162" s="12" t="s">
        <v>343</v>
      </c>
      <c r="G162" s="12" t="s">
        <v>383</v>
      </c>
      <c r="H162" s="12" t="s">
        <v>342</v>
      </c>
      <c r="I162" s="12" t="s">
        <v>18</v>
      </c>
      <c r="J162" s="10" t="n">
        <f aca="false">IF($D162="",0,IF(AND(OR(Test!$B$4="Hepsi",$B162=Test!$B$4),OR(Test!$B$5="Hepsi",$C162=Test!$B$5)),1,0))</f>
        <v>1</v>
      </c>
      <c r="K162" s="10" t="n">
        <f aca="true">IF($J162=1,RAND(),-1)</f>
        <v>0.438693442436811</v>
      </c>
      <c r="L162" s="10" t="n">
        <f aca="false">IF($J162=1,RANK($K162,$K$2:$K$1001),"")</f>
        <v>134</v>
      </c>
    </row>
    <row r="163" customFormat="false" ht="26.85" hidden="false" customHeight="false" outlineLevel="0" collapsed="false">
      <c r="A163" s="12" t="n">
        <v>162</v>
      </c>
      <c r="B163" s="12" t="s">
        <v>265</v>
      </c>
      <c r="C163" s="12" t="s">
        <v>217</v>
      </c>
      <c r="D163" s="11" t="s">
        <v>384</v>
      </c>
      <c r="E163" s="12" t="s">
        <v>346</v>
      </c>
      <c r="F163" s="12" t="s">
        <v>385</v>
      </c>
      <c r="G163" s="12" t="s">
        <v>386</v>
      </c>
      <c r="H163" s="12" t="s">
        <v>348</v>
      </c>
      <c r="I163" s="12" t="s">
        <v>21</v>
      </c>
      <c r="J163" s="10" t="n">
        <f aca="false">IF($D163="",0,IF(AND(OR(Test!$B$4="Hepsi",$B163=Test!$B$4),OR(Test!$B$5="Hepsi",$C163=Test!$B$5)),1,0))</f>
        <v>1</v>
      </c>
      <c r="K163" s="10" t="n">
        <f aca="true">IF($J163=1,RAND(),-1)</f>
        <v>0.308617186434505</v>
      </c>
      <c r="L163" s="10" t="n">
        <f aca="false">IF($J163=1,RANK($K163,$K$2:$K$1001),"")</f>
        <v>164</v>
      </c>
    </row>
    <row r="164" customFormat="false" ht="26.85" hidden="false" customHeight="false" outlineLevel="0" collapsed="false">
      <c r="A164" s="12" t="n">
        <v>163</v>
      </c>
      <c r="B164" s="12" t="s">
        <v>265</v>
      </c>
      <c r="C164" s="12" t="s">
        <v>217</v>
      </c>
      <c r="D164" s="11" t="s">
        <v>387</v>
      </c>
      <c r="E164" s="12" t="s">
        <v>351</v>
      </c>
      <c r="F164" s="12" t="s">
        <v>352</v>
      </c>
      <c r="G164" s="12" t="s">
        <v>353</v>
      </c>
      <c r="H164" s="12" t="s">
        <v>388</v>
      </c>
      <c r="I164" s="12" t="s">
        <v>19</v>
      </c>
      <c r="J164" s="10" t="n">
        <f aca="false">IF($D164="",0,IF(AND(OR(Test!$B$4="Hepsi",$B164=Test!$B$4),OR(Test!$B$5="Hepsi",$C164=Test!$B$5)),1,0))</f>
        <v>1</v>
      </c>
      <c r="K164" s="10" t="n">
        <f aca="true">IF($J164=1,RAND(),-1)</f>
        <v>0.409173372759522</v>
      </c>
      <c r="L164" s="10" t="n">
        <f aca="false">IF($J164=1,RANK($K164,$K$2:$K$1001),"")</f>
        <v>145</v>
      </c>
    </row>
    <row r="165" customFormat="false" ht="26.85" hidden="false" customHeight="false" outlineLevel="0" collapsed="false">
      <c r="A165" s="12" t="n">
        <v>164</v>
      </c>
      <c r="B165" s="12" t="s">
        <v>265</v>
      </c>
      <c r="C165" s="12" t="s">
        <v>217</v>
      </c>
      <c r="D165" s="11" t="s">
        <v>389</v>
      </c>
      <c r="E165" s="12" t="s">
        <v>356</v>
      </c>
      <c r="F165" s="12" t="s">
        <v>390</v>
      </c>
      <c r="G165" s="12" t="s">
        <v>359</v>
      </c>
      <c r="H165" s="12" t="s">
        <v>358</v>
      </c>
      <c r="I165" s="12" t="s">
        <v>21</v>
      </c>
      <c r="J165" s="10" t="n">
        <f aca="false">IF($D165="",0,IF(AND(OR(Test!$B$4="Hepsi",$B165=Test!$B$4),OR(Test!$B$5="Hepsi",$C165=Test!$B$5)),1,0))</f>
        <v>1</v>
      </c>
      <c r="K165" s="10" t="n">
        <f aca="true">IF($J165=1,RAND(),-1)</f>
        <v>0.425076059490222</v>
      </c>
      <c r="L165" s="10" t="n">
        <f aca="false">IF($J165=1,RANK($K165,$K$2:$K$1001),"")</f>
        <v>138</v>
      </c>
    </row>
    <row r="166" customFormat="false" ht="15" hidden="false" customHeight="false" outlineLevel="0" collapsed="false">
      <c r="A166" s="12" t="n">
        <v>165</v>
      </c>
      <c r="B166" s="12" t="s">
        <v>265</v>
      </c>
      <c r="C166" s="12" t="s">
        <v>217</v>
      </c>
      <c r="D166" s="11" t="s">
        <v>391</v>
      </c>
      <c r="E166" s="12" t="s">
        <v>35</v>
      </c>
      <c r="F166" s="12" t="s">
        <v>31</v>
      </c>
      <c r="G166" s="12" t="s">
        <v>29</v>
      </c>
      <c r="H166" s="12" t="s">
        <v>34</v>
      </c>
      <c r="I166" s="12" t="s">
        <v>18</v>
      </c>
      <c r="J166" s="10" t="n">
        <f aca="false">IF($D166="",0,IF(AND(OR(Test!$B$4="Hepsi",$B166=Test!$B$4),OR(Test!$B$5="Hepsi",$C166=Test!$B$5)),1,0))</f>
        <v>1</v>
      </c>
      <c r="K166" s="10" t="n">
        <f aca="true">IF($J166=1,RAND(),-1)</f>
        <v>0.142481993413371</v>
      </c>
      <c r="L166" s="10" t="n">
        <f aca="false">IF($J166=1,RANK($K166,$K$2:$K$1001),"")</f>
        <v>196</v>
      </c>
    </row>
    <row r="167" customFormat="false" ht="15" hidden="false" customHeight="false" outlineLevel="0" collapsed="false">
      <c r="A167" s="12" t="n">
        <v>166</v>
      </c>
      <c r="B167" s="12" t="s">
        <v>265</v>
      </c>
      <c r="C167" s="12" t="s">
        <v>217</v>
      </c>
      <c r="D167" s="11" t="s">
        <v>392</v>
      </c>
      <c r="E167" s="12" t="s">
        <v>38</v>
      </c>
      <c r="F167" s="12" t="s">
        <v>237</v>
      </c>
      <c r="G167" s="12" t="s">
        <v>32</v>
      </c>
      <c r="H167" s="12" t="s">
        <v>40</v>
      </c>
      <c r="I167" s="12" t="s">
        <v>21</v>
      </c>
      <c r="J167" s="10" t="n">
        <f aca="false">IF($D167="",0,IF(AND(OR(Test!$B$4="Hepsi",$B167=Test!$B$4),OR(Test!$B$5="Hepsi",$C167=Test!$B$5)),1,0))</f>
        <v>1</v>
      </c>
      <c r="K167" s="10" t="n">
        <f aca="true">IF($J167=1,RAND(),-1)</f>
        <v>0.809073900619529</v>
      </c>
      <c r="L167" s="10" t="n">
        <f aca="false">IF($J167=1,RANK($K167,$K$2:$K$1001),"")</f>
        <v>50</v>
      </c>
    </row>
    <row r="168" customFormat="false" ht="15" hidden="false" customHeight="false" outlineLevel="0" collapsed="false">
      <c r="A168" s="12" t="n">
        <v>167</v>
      </c>
      <c r="B168" s="12" t="s">
        <v>265</v>
      </c>
      <c r="C168" s="12" t="s">
        <v>217</v>
      </c>
      <c r="D168" s="11" t="s">
        <v>393</v>
      </c>
      <c r="E168" s="12" t="s">
        <v>29</v>
      </c>
      <c r="F168" s="12" t="s">
        <v>44</v>
      </c>
      <c r="G168" s="12" t="s">
        <v>45</v>
      </c>
      <c r="H168" s="12" t="s">
        <v>42</v>
      </c>
      <c r="I168" s="12" t="s">
        <v>21</v>
      </c>
      <c r="J168" s="10" t="n">
        <f aca="false">IF($D168="",0,IF(AND(OR(Test!$B$4="Hepsi",$B168=Test!$B$4),OR(Test!$B$5="Hepsi",$C168=Test!$B$5)),1,0))</f>
        <v>1</v>
      </c>
      <c r="K168" s="10" t="n">
        <f aca="true">IF($J168=1,RAND(),-1)</f>
        <v>0.889345502662645</v>
      </c>
      <c r="L168" s="10" t="n">
        <f aca="false">IF($J168=1,RANK($K168,$K$2:$K$1001),"")</f>
        <v>31</v>
      </c>
    </row>
    <row r="169" customFormat="false" ht="15" hidden="false" customHeight="false" outlineLevel="0" collapsed="false">
      <c r="A169" s="12" t="n">
        <v>168</v>
      </c>
      <c r="B169" s="12" t="s">
        <v>265</v>
      </c>
      <c r="C169" s="12" t="s">
        <v>217</v>
      </c>
      <c r="D169" s="11" t="s">
        <v>394</v>
      </c>
      <c r="E169" s="12" t="s">
        <v>50</v>
      </c>
      <c r="F169" s="12" t="s">
        <v>49</v>
      </c>
      <c r="G169" s="12" t="s">
        <v>144</v>
      </c>
      <c r="H169" s="12" t="s">
        <v>48</v>
      </c>
      <c r="I169" s="12" t="s">
        <v>21</v>
      </c>
      <c r="J169" s="10" t="n">
        <f aca="false">IF($D169="",0,IF(AND(OR(Test!$B$4="Hepsi",$B169=Test!$B$4),OR(Test!$B$5="Hepsi",$C169=Test!$B$5)),1,0))</f>
        <v>1</v>
      </c>
      <c r="K169" s="10" t="n">
        <f aca="true">IF($J169=1,RAND(),-1)</f>
        <v>0.711015826434592</v>
      </c>
      <c r="L169" s="10" t="n">
        <f aca="false">IF($J169=1,RANK($K169,$K$2:$K$1001),"")</f>
        <v>75</v>
      </c>
    </row>
    <row r="170" customFormat="false" ht="15" hidden="false" customHeight="false" outlineLevel="0" collapsed="false">
      <c r="A170" s="12" t="n">
        <v>169</v>
      </c>
      <c r="B170" s="12" t="s">
        <v>395</v>
      </c>
      <c r="C170" s="12" t="s">
        <v>27</v>
      </c>
      <c r="D170" s="11" t="s">
        <v>396</v>
      </c>
      <c r="E170" s="12" t="s">
        <v>29</v>
      </c>
      <c r="F170" s="12" t="s">
        <v>35</v>
      </c>
      <c r="G170" s="12" t="s">
        <v>34</v>
      </c>
      <c r="H170" s="12" t="s">
        <v>44</v>
      </c>
      <c r="I170" s="12" t="s">
        <v>20</v>
      </c>
      <c r="J170" s="10" t="n">
        <f aca="false">IF($D170="",0,IF(AND(OR(Test!$B$4="Hepsi",$B170=Test!$B$4),OR(Test!$B$5="Hepsi",$C170=Test!$B$5)),1,0))</f>
        <v>1</v>
      </c>
      <c r="K170" s="10" t="n">
        <f aca="true">IF($J170=1,RAND(),-1)</f>
        <v>0.156995526430745</v>
      </c>
      <c r="L170" s="10" t="n">
        <f aca="false">IF($J170=1,RANK($K170,$K$2:$K$1001),"")</f>
        <v>194</v>
      </c>
    </row>
    <row r="171" customFormat="false" ht="15" hidden="false" customHeight="false" outlineLevel="0" collapsed="false">
      <c r="A171" s="12" t="n">
        <v>170</v>
      </c>
      <c r="B171" s="12" t="s">
        <v>395</v>
      </c>
      <c r="C171" s="12" t="s">
        <v>27</v>
      </c>
      <c r="D171" s="11" t="s">
        <v>397</v>
      </c>
      <c r="E171" s="12" t="s">
        <v>35</v>
      </c>
      <c r="F171" s="12" t="s">
        <v>44</v>
      </c>
      <c r="G171" s="12" t="s">
        <v>34</v>
      </c>
      <c r="H171" s="12" t="s">
        <v>36</v>
      </c>
      <c r="I171" s="12" t="s">
        <v>19</v>
      </c>
      <c r="J171" s="10" t="n">
        <f aca="false">IF($D171="",0,IF(AND(OR(Test!$B$4="Hepsi",$B171=Test!$B$4),OR(Test!$B$5="Hepsi",$C171=Test!$B$5)),1,0))</f>
        <v>1</v>
      </c>
      <c r="K171" s="10" t="n">
        <f aca="true">IF($J171=1,RAND(),-1)</f>
        <v>0.253815659011041</v>
      </c>
      <c r="L171" s="10" t="n">
        <f aca="false">IF($J171=1,RANK($K171,$K$2:$K$1001),"")</f>
        <v>176</v>
      </c>
    </row>
    <row r="172" customFormat="false" ht="15" hidden="false" customHeight="false" outlineLevel="0" collapsed="false">
      <c r="A172" s="12" t="n">
        <v>171</v>
      </c>
      <c r="B172" s="12" t="s">
        <v>395</v>
      </c>
      <c r="C172" s="12" t="s">
        <v>27</v>
      </c>
      <c r="D172" s="11" t="s">
        <v>398</v>
      </c>
      <c r="E172" s="12" t="s">
        <v>44</v>
      </c>
      <c r="F172" s="12" t="s">
        <v>29</v>
      </c>
      <c r="G172" s="12" t="s">
        <v>34</v>
      </c>
      <c r="H172" s="12" t="s">
        <v>35</v>
      </c>
      <c r="I172" s="12" t="s">
        <v>21</v>
      </c>
      <c r="J172" s="10" t="n">
        <f aca="false">IF($D172="",0,IF(AND(OR(Test!$B$4="Hepsi",$B172=Test!$B$4),OR(Test!$B$5="Hepsi",$C172=Test!$B$5)),1,0))</f>
        <v>1</v>
      </c>
      <c r="K172" s="10" t="n">
        <f aca="true">IF($J172=1,RAND(),-1)</f>
        <v>0.815473324896565</v>
      </c>
      <c r="L172" s="10" t="n">
        <f aca="false">IF($J172=1,RANK($K172,$K$2:$K$1001),"")</f>
        <v>48</v>
      </c>
    </row>
    <row r="173" customFormat="false" ht="15" hidden="false" customHeight="false" outlineLevel="0" collapsed="false">
      <c r="A173" s="12" t="n">
        <v>172</v>
      </c>
      <c r="B173" s="12" t="s">
        <v>395</v>
      </c>
      <c r="C173" s="12" t="s">
        <v>27</v>
      </c>
      <c r="D173" s="11" t="s">
        <v>399</v>
      </c>
      <c r="E173" s="12" t="s">
        <v>400</v>
      </c>
      <c r="F173" s="12" t="s">
        <v>401</v>
      </c>
      <c r="G173" s="12" t="s">
        <v>402</v>
      </c>
      <c r="H173" s="12" t="s">
        <v>403</v>
      </c>
      <c r="I173" s="12" t="s">
        <v>21</v>
      </c>
      <c r="J173" s="10" t="n">
        <f aca="false">IF($D173="",0,IF(AND(OR(Test!$B$4="Hepsi",$B173=Test!$B$4),OR(Test!$B$5="Hepsi",$C173=Test!$B$5)),1,0))</f>
        <v>1</v>
      </c>
      <c r="K173" s="10" t="n">
        <f aca="true">IF($J173=1,RAND(),-1)</f>
        <v>0.583366151364514</v>
      </c>
      <c r="L173" s="10" t="n">
        <f aca="false">IF($J173=1,RANK($K173,$K$2:$K$1001),"")</f>
        <v>105</v>
      </c>
    </row>
    <row r="174" customFormat="false" ht="15" hidden="false" customHeight="false" outlineLevel="0" collapsed="false">
      <c r="A174" s="12" t="n">
        <v>173</v>
      </c>
      <c r="B174" s="12" t="s">
        <v>395</v>
      </c>
      <c r="C174" s="12" t="s">
        <v>27</v>
      </c>
      <c r="D174" s="11" t="s">
        <v>404</v>
      </c>
      <c r="E174" s="12" t="s">
        <v>31</v>
      </c>
      <c r="F174" s="12" t="s">
        <v>32</v>
      </c>
      <c r="G174" s="12" t="s">
        <v>29</v>
      </c>
      <c r="H174" s="12" t="s">
        <v>34</v>
      </c>
      <c r="I174" s="12" t="s">
        <v>19</v>
      </c>
      <c r="J174" s="10" t="n">
        <f aca="false">IF($D174="",0,IF(AND(OR(Test!$B$4="Hepsi",$B174=Test!$B$4),OR(Test!$B$5="Hepsi",$C174=Test!$B$5)),1,0))</f>
        <v>1</v>
      </c>
      <c r="K174" s="10" t="n">
        <f aca="true">IF($J174=1,RAND(),-1)</f>
        <v>0.1912413735177</v>
      </c>
      <c r="L174" s="10" t="n">
        <f aca="false">IF($J174=1,RANK($K174,$K$2:$K$1001),"")</f>
        <v>189</v>
      </c>
    </row>
    <row r="175" customFormat="false" ht="15" hidden="false" customHeight="false" outlineLevel="0" collapsed="false">
      <c r="A175" s="12" t="n">
        <v>174</v>
      </c>
      <c r="B175" s="12" t="s">
        <v>395</v>
      </c>
      <c r="C175" s="12" t="s">
        <v>27</v>
      </c>
      <c r="D175" s="11" t="s">
        <v>405</v>
      </c>
      <c r="E175" s="12" t="s">
        <v>29</v>
      </c>
      <c r="F175" s="12" t="s">
        <v>32</v>
      </c>
      <c r="G175" s="12" t="s">
        <v>34</v>
      </c>
      <c r="H175" s="12" t="s">
        <v>44</v>
      </c>
      <c r="I175" s="12" t="s">
        <v>18</v>
      </c>
      <c r="J175" s="10" t="n">
        <f aca="false">IF($D175="",0,IF(AND(OR(Test!$B$4="Hepsi",$B175=Test!$B$4),OR(Test!$B$5="Hepsi",$C175=Test!$B$5)),1,0))</f>
        <v>1</v>
      </c>
      <c r="K175" s="10" t="n">
        <f aca="true">IF($J175=1,RAND(),-1)</f>
        <v>0.684954170374515</v>
      </c>
      <c r="L175" s="10" t="n">
        <f aca="false">IF($J175=1,RANK($K175,$K$2:$K$1001),"")</f>
        <v>80</v>
      </c>
    </row>
    <row r="176" customFormat="false" ht="26.85" hidden="false" customHeight="false" outlineLevel="0" collapsed="false">
      <c r="A176" s="12" t="n">
        <v>175</v>
      </c>
      <c r="B176" s="12" t="s">
        <v>395</v>
      </c>
      <c r="C176" s="12" t="s">
        <v>27</v>
      </c>
      <c r="D176" s="11" t="s">
        <v>406</v>
      </c>
      <c r="E176" s="12" t="s">
        <v>407</v>
      </c>
      <c r="F176" s="12" t="s">
        <v>408</v>
      </c>
      <c r="G176" s="12" t="s">
        <v>409</v>
      </c>
      <c r="H176" s="12" t="s">
        <v>410</v>
      </c>
      <c r="I176" s="12" t="s">
        <v>19</v>
      </c>
      <c r="J176" s="10" t="n">
        <f aca="false">IF($D176="",0,IF(AND(OR(Test!$B$4="Hepsi",$B176=Test!$B$4),OR(Test!$B$5="Hepsi",$C176=Test!$B$5)),1,0))</f>
        <v>1</v>
      </c>
      <c r="K176" s="10" t="n">
        <f aca="true">IF($J176=1,RAND(),-1)</f>
        <v>0.0746246862775301</v>
      </c>
      <c r="L176" s="10" t="n">
        <f aca="false">IF($J176=1,RANK($K176,$K$2:$K$1001),"")</f>
        <v>209</v>
      </c>
    </row>
    <row r="177" customFormat="false" ht="26.85" hidden="false" customHeight="false" outlineLevel="0" collapsed="false">
      <c r="A177" s="12" t="n">
        <v>176</v>
      </c>
      <c r="B177" s="12" t="s">
        <v>395</v>
      </c>
      <c r="C177" s="12" t="s">
        <v>27</v>
      </c>
      <c r="D177" s="11" t="s">
        <v>411</v>
      </c>
      <c r="E177" s="12" t="s">
        <v>412</v>
      </c>
      <c r="F177" s="12" t="s">
        <v>413</v>
      </c>
      <c r="G177" s="12" t="s">
        <v>414</v>
      </c>
      <c r="H177" s="12" t="s">
        <v>415</v>
      </c>
      <c r="I177" s="12" t="s">
        <v>20</v>
      </c>
      <c r="J177" s="10" t="n">
        <f aca="false">IF($D177="",0,IF(AND(OR(Test!$B$4="Hepsi",$B177=Test!$B$4),OR(Test!$B$5="Hepsi",$C177=Test!$B$5)),1,0))</f>
        <v>1</v>
      </c>
      <c r="K177" s="10" t="n">
        <f aca="true">IF($J177=1,RAND(),-1)</f>
        <v>0.480235755811466</v>
      </c>
      <c r="L177" s="10" t="n">
        <f aca="false">IF($J177=1,RANK($K177,$K$2:$K$1001),"")</f>
        <v>123</v>
      </c>
    </row>
    <row r="178" customFormat="false" ht="15" hidden="false" customHeight="false" outlineLevel="0" collapsed="false">
      <c r="A178" s="12" t="n">
        <v>177</v>
      </c>
      <c r="B178" s="12" t="s">
        <v>395</v>
      </c>
      <c r="C178" s="12" t="s">
        <v>141</v>
      </c>
      <c r="D178" s="11" t="s">
        <v>416</v>
      </c>
      <c r="E178" s="12" t="s">
        <v>45</v>
      </c>
      <c r="F178" s="12" t="s">
        <v>62</v>
      </c>
      <c r="G178" s="12" t="s">
        <v>35</v>
      </c>
      <c r="H178" s="12" t="s">
        <v>44</v>
      </c>
      <c r="I178" s="12" t="s">
        <v>19</v>
      </c>
      <c r="J178" s="10" t="n">
        <f aca="false">IF($D178="",0,IF(AND(OR(Test!$B$4="Hepsi",$B178=Test!$B$4),OR(Test!$B$5="Hepsi",$C178=Test!$B$5)),1,0))</f>
        <v>1</v>
      </c>
      <c r="K178" s="10" t="n">
        <f aca="true">IF($J178=1,RAND(),-1)</f>
        <v>0.999843865010908</v>
      </c>
      <c r="L178" s="10" t="n">
        <f aca="false">IF($J178=1,RANK($K178,$K$2:$K$1001),"")</f>
        <v>1</v>
      </c>
    </row>
    <row r="179" customFormat="false" ht="15" hidden="false" customHeight="false" outlineLevel="0" collapsed="false">
      <c r="A179" s="12" t="n">
        <v>178</v>
      </c>
      <c r="B179" s="12" t="s">
        <v>395</v>
      </c>
      <c r="C179" s="12" t="s">
        <v>141</v>
      </c>
      <c r="D179" s="11" t="s">
        <v>417</v>
      </c>
      <c r="E179" s="12" t="s">
        <v>40</v>
      </c>
      <c r="F179" s="12" t="s">
        <v>53</v>
      </c>
      <c r="G179" s="12" t="s">
        <v>62</v>
      </c>
      <c r="H179" s="12" t="s">
        <v>54</v>
      </c>
      <c r="I179" s="12" t="s">
        <v>19</v>
      </c>
      <c r="J179" s="10" t="n">
        <f aca="false">IF($D179="",0,IF(AND(OR(Test!$B$4="Hepsi",$B179=Test!$B$4),OR(Test!$B$5="Hepsi",$C179=Test!$B$5)),1,0))</f>
        <v>1</v>
      </c>
      <c r="K179" s="10" t="n">
        <f aca="true">IF($J179=1,RAND(),-1)</f>
        <v>0.850536387731825</v>
      </c>
      <c r="L179" s="10" t="n">
        <f aca="false">IF($J179=1,RANK($K179,$K$2:$K$1001),"")</f>
        <v>41</v>
      </c>
    </row>
    <row r="180" customFormat="false" ht="15" hidden="false" customHeight="false" outlineLevel="0" collapsed="false">
      <c r="A180" s="12" t="n">
        <v>179</v>
      </c>
      <c r="B180" s="12" t="s">
        <v>395</v>
      </c>
      <c r="C180" s="12" t="s">
        <v>141</v>
      </c>
      <c r="D180" s="11" t="s">
        <v>418</v>
      </c>
      <c r="E180" s="12" t="s">
        <v>42</v>
      </c>
      <c r="F180" s="12" t="s">
        <v>62</v>
      </c>
      <c r="G180" s="12" t="s">
        <v>320</v>
      </c>
      <c r="H180" s="12" t="s">
        <v>162</v>
      </c>
      <c r="I180" s="12" t="s">
        <v>20</v>
      </c>
      <c r="J180" s="10" t="n">
        <f aca="false">IF($D180="",0,IF(AND(OR(Test!$B$4="Hepsi",$B180=Test!$B$4),OR(Test!$B$5="Hepsi",$C180=Test!$B$5)),1,0))</f>
        <v>1</v>
      </c>
      <c r="K180" s="10" t="n">
        <f aca="true">IF($J180=1,RAND(),-1)</f>
        <v>0.955951225254102</v>
      </c>
      <c r="L180" s="10" t="n">
        <f aca="false">IF($J180=1,RANK($K180,$K$2:$K$1001),"")</f>
        <v>14</v>
      </c>
    </row>
    <row r="181" customFormat="false" ht="15" hidden="false" customHeight="false" outlineLevel="0" collapsed="false">
      <c r="A181" s="12" t="n">
        <v>180</v>
      </c>
      <c r="B181" s="12" t="s">
        <v>395</v>
      </c>
      <c r="C181" s="12" t="s">
        <v>141</v>
      </c>
      <c r="D181" s="11" t="s">
        <v>419</v>
      </c>
      <c r="E181" s="12" t="s">
        <v>39</v>
      </c>
      <c r="F181" s="12" t="s">
        <v>48</v>
      </c>
      <c r="G181" s="12" t="s">
        <v>420</v>
      </c>
      <c r="H181" s="12" t="s">
        <v>224</v>
      </c>
      <c r="I181" s="12" t="s">
        <v>20</v>
      </c>
      <c r="J181" s="10" t="n">
        <f aca="false">IF($D181="",0,IF(AND(OR(Test!$B$4="Hepsi",$B181=Test!$B$4),OR(Test!$B$5="Hepsi",$C181=Test!$B$5)),1,0))</f>
        <v>1</v>
      </c>
      <c r="K181" s="10" t="n">
        <f aca="true">IF($J181=1,RAND(),-1)</f>
        <v>0.543536864397052</v>
      </c>
      <c r="L181" s="10" t="n">
        <f aca="false">IF($J181=1,RANK($K181,$K$2:$K$1001),"")</f>
        <v>113</v>
      </c>
    </row>
    <row r="182" customFormat="false" ht="15" hidden="false" customHeight="false" outlineLevel="0" collapsed="false">
      <c r="A182" s="12" t="n">
        <v>181</v>
      </c>
      <c r="B182" s="12" t="s">
        <v>395</v>
      </c>
      <c r="C182" s="12" t="s">
        <v>141</v>
      </c>
      <c r="D182" s="11" t="s">
        <v>421</v>
      </c>
      <c r="E182" s="12" t="s">
        <v>53</v>
      </c>
      <c r="F182" s="12" t="s">
        <v>245</v>
      </c>
      <c r="G182" s="12" t="s">
        <v>55</v>
      </c>
      <c r="H182" s="12" t="s">
        <v>320</v>
      </c>
      <c r="I182" s="12" t="s">
        <v>19</v>
      </c>
      <c r="J182" s="10" t="n">
        <f aca="false">IF($D182="",0,IF(AND(OR(Test!$B$4="Hepsi",$B182=Test!$B$4),OR(Test!$B$5="Hepsi",$C182=Test!$B$5)),1,0))</f>
        <v>1</v>
      </c>
      <c r="K182" s="10" t="n">
        <f aca="true">IF($J182=1,RAND(),-1)</f>
        <v>0.107647081945333</v>
      </c>
      <c r="L182" s="10" t="n">
        <f aca="false">IF($J182=1,RANK($K182,$K$2:$K$1001),"")</f>
        <v>202</v>
      </c>
    </row>
    <row r="183" customFormat="false" ht="15" hidden="false" customHeight="false" outlineLevel="0" collapsed="false">
      <c r="A183" s="12" t="n">
        <v>182</v>
      </c>
      <c r="B183" s="12" t="s">
        <v>395</v>
      </c>
      <c r="C183" s="12" t="s">
        <v>141</v>
      </c>
      <c r="D183" s="11" t="s">
        <v>422</v>
      </c>
      <c r="E183" s="12" t="s">
        <v>423</v>
      </c>
      <c r="F183" s="12" t="s">
        <v>330</v>
      </c>
      <c r="G183" s="12" t="s">
        <v>424</v>
      </c>
      <c r="H183" s="12" t="s">
        <v>57</v>
      </c>
      <c r="I183" s="12" t="s">
        <v>20</v>
      </c>
      <c r="J183" s="10" t="n">
        <f aca="false">IF($D183="",0,IF(AND(OR(Test!$B$4="Hepsi",$B183=Test!$B$4),OR(Test!$B$5="Hepsi",$C183=Test!$B$5)),1,0))</f>
        <v>1</v>
      </c>
      <c r="K183" s="10" t="n">
        <f aca="true">IF($J183=1,RAND(),-1)</f>
        <v>0.990240404062735</v>
      </c>
      <c r="L183" s="10" t="n">
        <f aca="false">IF($J183=1,RANK($K183,$K$2:$K$1001),"")</f>
        <v>3</v>
      </c>
    </row>
    <row r="184" customFormat="false" ht="15" hidden="false" customHeight="false" outlineLevel="0" collapsed="false">
      <c r="A184" s="12" t="n">
        <v>183</v>
      </c>
      <c r="B184" s="12" t="s">
        <v>395</v>
      </c>
      <c r="C184" s="12" t="s">
        <v>141</v>
      </c>
      <c r="D184" s="11" t="s">
        <v>425</v>
      </c>
      <c r="E184" s="12" t="s">
        <v>269</v>
      </c>
      <c r="F184" s="12" t="s">
        <v>63</v>
      </c>
      <c r="G184" s="12" t="s">
        <v>320</v>
      </c>
      <c r="H184" s="12" t="s">
        <v>42</v>
      </c>
      <c r="I184" s="12" t="s">
        <v>18</v>
      </c>
      <c r="J184" s="10" t="n">
        <f aca="false">IF($D184="",0,IF(AND(OR(Test!$B$4="Hepsi",$B184=Test!$B$4),OR(Test!$B$5="Hepsi",$C184=Test!$B$5)),1,0))</f>
        <v>1</v>
      </c>
      <c r="K184" s="10" t="n">
        <f aca="true">IF($J184=1,RAND(),-1)</f>
        <v>0.540205458014351</v>
      </c>
      <c r="L184" s="10" t="n">
        <f aca="false">IF($J184=1,RANK($K184,$K$2:$K$1001),"")</f>
        <v>114</v>
      </c>
    </row>
    <row r="185" customFormat="false" ht="15" hidden="false" customHeight="false" outlineLevel="0" collapsed="false">
      <c r="A185" s="12" t="n">
        <v>184</v>
      </c>
      <c r="B185" s="12" t="s">
        <v>395</v>
      </c>
      <c r="C185" s="12" t="s">
        <v>141</v>
      </c>
      <c r="D185" s="11" t="s">
        <v>426</v>
      </c>
      <c r="E185" s="12" t="s">
        <v>324</v>
      </c>
      <c r="F185" s="12" t="s">
        <v>68</v>
      </c>
      <c r="G185" s="12" t="s">
        <v>197</v>
      </c>
      <c r="H185" s="12" t="s">
        <v>245</v>
      </c>
      <c r="I185" s="12" t="s">
        <v>18</v>
      </c>
      <c r="J185" s="10" t="n">
        <f aca="false">IF($D185="",0,IF(AND(OR(Test!$B$4="Hepsi",$B185=Test!$B$4),OR(Test!$B$5="Hepsi",$C185=Test!$B$5)),1,0))</f>
        <v>1</v>
      </c>
      <c r="K185" s="10" t="n">
        <f aca="true">IF($J185=1,RAND(),-1)</f>
        <v>0.478333104792128</v>
      </c>
      <c r="L185" s="10" t="n">
        <f aca="false">IF($J185=1,RANK($K185,$K$2:$K$1001),"")</f>
        <v>124</v>
      </c>
    </row>
    <row r="186" customFormat="false" ht="15" hidden="false" customHeight="false" outlineLevel="0" collapsed="false">
      <c r="A186" s="12" t="n">
        <v>185</v>
      </c>
      <c r="B186" s="12" t="s">
        <v>395</v>
      </c>
      <c r="C186" s="12" t="s">
        <v>141</v>
      </c>
      <c r="D186" s="11" t="s">
        <v>427</v>
      </c>
      <c r="E186" s="12" t="s">
        <v>428</v>
      </c>
      <c r="F186" s="12" t="s">
        <v>70</v>
      </c>
      <c r="G186" s="12" t="s">
        <v>429</v>
      </c>
      <c r="H186" s="12" t="s">
        <v>420</v>
      </c>
      <c r="I186" s="12" t="s">
        <v>18</v>
      </c>
      <c r="J186" s="10" t="n">
        <f aca="false">IF($D186="",0,IF(AND(OR(Test!$B$4="Hepsi",$B186=Test!$B$4),OR(Test!$B$5="Hepsi",$C186=Test!$B$5)),1,0))</f>
        <v>1</v>
      </c>
      <c r="K186" s="10" t="n">
        <f aca="true">IF($J186=1,RAND(),-1)</f>
        <v>0.772540808789482</v>
      </c>
      <c r="L186" s="10" t="n">
        <f aca="false">IF($J186=1,RANK($K186,$K$2:$K$1001),"")</f>
        <v>58</v>
      </c>
    </row>
    <row r="187" customFormat="false" ht="15" hidden="false" customHeight="false" outlineLevel="0" collapsed="false">
      <c r="A187" s="12" t="n">
        <v>186</v>
      </c>
      <c r="B187" s="12" t="s">
        <v>395</v>
      </c>
      <c r="C187" s="12" t="s">
        <v>141</v>
      </c>
      <c r="D187" s="11" t="s">
        <v>430</v>
      </c>
      <c r="E187" s="12" t="s">
        <v>44</v>
      </c>
      <c r="F187" s="12" t="s">
        <v>62</v>
      </c>
      <c r="G187" s="12" t="s">
        <v>45</v>
      </c>
      <c r="H187" s="12" t="s">
        <v>35</v>
      </c>
      <c r="I187" s="12" t="s">
        <v>19</v>
      </c>
      <c r="J187" s="10" t="n">
        <f aca="false">IF($D187="",0,IF(AND(OR(Test!$B$4="Hepsi",$B187=Test!$B$4),OR(Test!$B$5="Hepsi",$C187=Test!$B$5)),1,0))</f>
        <v>1</v>
      </c>
      <c r="K187" s="10" t="n">
        <f aca="true">IF($J187=1,RAND(),-1)</f>
        <v>0.754624017696931</v>
      </c>
      <c r="L187" s="10" t="n">
        <f aca="false">IF($J187=1,RANK($K187,$K$2:$K$1001),"")</f>
        <v>64</v>
      </c>
    </row>
    <row r="188" customFormat="false" ht="15" hidden="false" customHeight="false" outlineLevel="0" collapsed="false">
      <c r="A188" s="12" t="n">
        <v>187</v>
      </c>
      <c r="B188" s="12" t="s">
        <v>395</v>
      </c>
      <c r="C188" s="12" t="s">
        <v>141</v>
      </c>
      <c r="D188" s="11" t="s">
        <v>431</v>
      </c>
      <c r="E188" s="12" t="s">
        <v>197</v>
      </c>
      <c r="F188" s="12" t="s">
        <v>40</v>
      </c>
      <c r="G188" s="12" t="s">
        <v>53</v>
      </c>
      <c r="H188" s="12" t="s">
        <v>54</v>
      </c>
      <c r="I188" s="12" t="s">
        <v>18</v>
      </c>
      <c r="J188" s="10" t="n">
        <f aca="false">IF($D188="",0,IF(AND(OR(Test!$B$4="Hepsi",$B188=Test!$B$4),OR(Test!$B$5="Hepsi",$C188=Test!$B$5)),1,0))</f>
        <v>1</v>
      </c>
      <c r="K188" s="10" t="n">
        <f aca="true">IF($J188=1,RAND(),-1)</f>
        <v>0.0971843450490324</v>
      </c>
      <c r="L188" s="10" t="n">
        <f aca="false">IF($J188=1,RANK($K188,$K$2:$K$1001),"")</f>
        <v>205</v>
      </c>
    </row>
    <row r="189" customFormat="false" ht="15" hidden="false" customHeight="false" outlineLevel="0" collapsed="false">
      <c r="A189" s="12" t="n">
        <v>188</v>
      </c>
      <c r="B189" s="12" t="s">
        <v>395</v>
      </c>
      <c r="C189" s="12" t="s">
        <v>141</v>
      </c>
      <c r="D189" s="11" t="s">
        <v>432</v>
      </c>
      <c r="E189" s="12" t="s">
        <v>269</v>
      </c>
      <c r="F189" s="12" t="s">
        <v>45</v>
      </c>
      <c r="G189" s="12" t="s">
        <v>42</v>
      </c>
      <c r="H189" s="12" t="s">
        <v>62</v>
      </c>
      <c r="I189" s="12" t="s">
        <v>18</v>
      </c>
      <c r="J189" s="10" t="n">
        <f aca="false">IF($D189="",0,IF(AND(OR(Test!$B$4="Hepsi",$B189=Test!$B$4),OR(Test!$B$5="Hepsi",$C189=Test!$B$5)),1,0))</f>
        <v>1</v>
      </c>
      <c r="K189" s="10" t="n">
        <f aca="true">IF($J189=1,RAND(),-1)</f>
        <v>0.668059191596061</v>
      </c>
      <c r="L189" s="10" t="n">
        <f aca="false">IF($J189=1,RANK($K189,$K$2:$K$1001),"")</f>
        <v>84</v>
      </c>
    </row>
    <row r="190" customFormat="false" ht="15" hidden="false" customHeight="false" outlineLevel="0" collapsed="false">
      <c r="A190" s="12" t="n">
        <v>189</v>
      </c>
      <c r="B190" s="12" t="s">
        <v>395</v>
      </c>
      <c r="C190" s="12" t="s">
        <v>141</v>
      </c>
      <c r="D190" s="11" t="s">
        <v>433</v>
      </c>
      <c r="E190" s="12" t="s">
        <v>271</v>
      </c>
      <c r="F190" s="12" t="s">
        <v>71</v>
      </c>
      <c r="G190" s="12" t="s">
        <v>39</v>
      </c>
      <c r="H190" s="12" t="s">
        <v>48</v>
      </c>
      <c r="I190" s="12" t="s">
        <v>18</v>
      </c>
      <c r="J190" s="10" t="n">
        <f aca="false">IF($D190="",0,IF(AND(OR(Test!$B$4="Hepsi",$B190=Test!$B$4),OR(Test!$B$5="Hepsi",$C190=Test!$B$5)),1,0))</f>
        <v>1</v>
      </c>
      <c r="K190" s="10" t="n">
        <f aca="true">IF($J190=1,RAND(),-1)</f>
        <v>0.0846206108643594</v>
      </c>
      <c r="L190" s="10" t="n">
        <f aca="false">IF($J190=1,RANK($K190,$K$2:$K$1001),"")</f>
        <v>207</v>
      </c>
    </row>
    <row r="191" customFormat="false" ht="15" hidden="false" customHeight="false" outlineLevel="0" collapsed="false">
      <c r="A191" s="12" t="n">
        <v>190</v>
      </c>
      <c r="B191" s="12" t="s">
        <v>395</v>
      </c>
      <c r="C191" s="12" t="s">
        <v>141</v>
      </c>
      <c r="D191" s="11" t="s">
        <v>434</v>
      </c>
      <c r="E191" s="12" t="s">
        <v>263</v>
      </c>
      <c r="F191" s="12" t="s">
        <v>53</v>
      </c>
      <c r="G191" s="12" t="s">
        <v>290</v>
      </c>
      <c r="H191" s="12" t="s">
        <v>55</v>
      </c>
      <c r="I191" s="12" t="s">
        <v>21</v>
      </c>
      <c r="J191" s="10" t="n">
        <f aca="false">IF($D191="",0,IF(AND(OR(Test!$B$4="Hepsi",$B191=Test!$B$4),OR(Test!$B$5="Hepsi",$C191=Test!$B$5)),1,0))</f>
        <v>1</v>
      </c>
      <c r="K191" s="10" t="n">
        <f aca="true">IF($J191=1,RAND(),-1)</f>
        <v>0.799602364550998</v>
      </c>
      <c r="L191" s="10" t="n">
        <f aca="false">IF($J191=1,RANK($K191,$K$2:$K$1001),"")</f>
        <v>54</v>
      </c>
    </row>
    <row r="192" customFormat="false" ht="15" hidden="false" customHeight="false" outlineLevel="0" collapsed="false">
      <c r="A192" s="12" t="n">
        <v>191</v>
      </c>
      <c r="B192" s="12" t="s">
        <v>395</v>
      </c>
      <c r="C192" s="12" t="s">
        <v>141</v>
      </c>
      <c r="D192" s="11" t="s">
        <v>435</v>
      </c>
      <c r="E192" s="12" t="s">
        <v>423</v>
      </c>
      <c r="F192" s="12" t="s">
        <v>274</v>
      </c>
      <c r="G192" s="12" t="s">
        <v>57</v>
      </c>
      <c r="H192" s="12" t="s">
        <v>436</v>
      </c>
      <c r="I192" s="12" t="s">
        <v>19</v>
      </c>
      <c r="J192" s="10" t="n">
        <f aca="false">IF($D192="",0,IF(AND(OR(Test!$B$4="Hepsi",$B192=Test!$B$4),OR(Test!$B$5="Hepsi",$C192=Test!$B$5)),1,0))</f>
        <v>1</v>
      </c>
      <c r="K192" s="10" t="n">
        <f aca="true">IF($J192=1,RAND(),-1)</f>
        <v>0.661569024291627</v>
      </c>
      <c r="L192" s="10" t="n">
        <f aca="false">IF($J192=1,RANK($K192,$K$2:$K$1001),"")</f>
        <v>86</v>
      </c>
    </row>
    <row r="193" customFormat="false" ht="15" hidden="false" customHeight="false" outlineLevel="0" collapsed="false">
      <c r="A193" s="12" t="n">
        <v>192</v>
      </c>
      <c r="B193" s="12" t="s">
        <v>395</v>
      </c>
      <c r="C193" s="12" t="s">
        <v>141</v>
      </c>
      <c r="D193" s="11" t="s">
        <v>437</v>
      </c>
      <c r="E193" s="12" t="s">
        <v>63</v>
      </c>
      <c r="F193" s="12" t="s">
        <v>438</v>
      </c>
      <c r="G193" s="12" t="s">
        <v>276</v>
      </c>
      <c r="H193" s="12" t="s">
        <v>320</v>
      </c>
      <c r="I193" s="12" t="s">
        <v>20</v>
      </c>
      <c r="J193" s="10" t="n">
        <f aca="false">IF($D193="",0,IF(AND(OR(Test!$B$4="Hepsi",$B193=Test!$B$4),OR(Test!$B$5="Hepsi",$C193=Test!$B$5)),1,0))</f>
        <v>1</v>
      </c>
      <c r="K193" s="10" t="n">
        <f aca="true">IF($J193=1,RAND(),-1)</f>
        <v>0.545462984596294</v>
      </c>
      <c r="L193" s="10" t="n">
        <f aca="false">IF($J193=1,RANK($K193,$K$2:$K$1001),"")</f>
        <v>112</v>
      </c>
    </row>
    <row r="194" customFormat="false" ht="15" hidden="false" customHeight="false" outlineLevel="0" collapsed="false">
      <c r="A194" s="12" t="n">
        <v>193</v>
      </c>
      <c r="B194" s="12" t="s">
        <v>395</v>
      </c>
      <c r="C194" s="12" t="s">
        <v>141</v>
      </c>
      <c r="D194" s="11" t="s">
        <v>439</v>
      </c>
      <c r="E194" s="12" t="s">
        <v>440</v>
      </c>
      <c r="F194" s="12" t="s">
        <v>68</v>
      </c>
      <c r="G194" s="12" t="s">
        <v>197</v>
      </c>
      <c r="H194" s="12" t="s">
        <v>278</v>
      </c>
      <c r="I194" s="12" t="s">
        <v>21</v>
      </c>
      <c r="J194" s="10" t="n">
        <f aca="false">IF($D194="",0,IF(AND(OR(Test!$B$4="Hepsi",$B194=Test!$B$4),OR(Test!$B$5="Hepsi",$C194=Test!$B$5)),1,0))</f>
        <v>1</v>
      </c>
      <c r="K194" s="10" t="n">
        <f aca="true">IF($J194=1,RAND(),-1)</f>
        <v>0.859551219003739</v>
      </c>
      <c r="L194" s="10" t="n">
        <f aca="false">IF($J194=1,RANK($K194,$K$2:$K$1001),"")</f>
        <v>38</v>
      </c>
    </row>
    <row r="195" customFormat="false" ht="15" hidden="false" customHeight="false" outlineLevel="0" collapsed="false">
      <c r="A195" s="12" t="n">
        <v>194</v>
      </c>
      <c r="B195" s="12" t="s">
        <v>395</v>
      </c>
      <c r="C195" s="12" t="s">
        <v>141</v>
      </c>
      <c r="D195" s="11" t="s">
        <v>441</v>
      </c>
      <c r="E195" s="12" t="s">
        <v>420</v>
      </c>
      <c r="F195" s="12" t="s">
        <v>442</v>
      </c>
      <c r="G195" s="12" t="s">
        <v>280</v>
      </c>
      <c r="H195" s="12" t="s">
        <v>70</v>
      </c>
      <c r="I195" s="12" t="s">
        <v>20</v>
      </c>
      <c r="J195" s="10" t="n">
        <f aca="false">IF($D195="",0,IF(AND(OR(Test!$B$4="Hepsi",$B195=Test!$B$4),OR(Test!$B$5="Hepsi",$C195=Test!$B$5)),1,0))</f>
        <v>1</v>
      </c>
      <c r="K195" s="10" t="n">
        <f aca="true">IF($J195=1,RAND(),-1)</f>
        <v>0.451819318746158</v>
      </c>
      <c r="L195" s="10" t="n">
        <f aca="false">IF($J195=1,RANK($K195,$K$2:$K$1001),"")</f>
        <v>131</v>
      </c>
    </row>
    <row r="196" customFormat="false" ht="15" hidden="false" customHeight="false" outlineLevel="0" collapsed="false">
      <c r="A196" s="12" t="n">
        <v>195</v>
      </c>
      <c r="B196" s="12" t="s">
        <v>395</v>
      </c>
      <c r="C196" s="12" t="s">
        <v>141</v>
      </c>
      <c r="D196" s="11" t="s">
        <v>443</v>
      </c>
      <c r="E196" s="12" t="s">
        <v>30</v>
      </c>
      <c r="F196" s="12" t="s">
        <v>31</v>
      </c>
      <c r="G196" s="12" t="s">
        <v>29</v>
      </c>
      <c r="H196" s="12" t="s">
        <v>32</v>
      </c>
      <c r="I196" s="12" t="s">
        <v>19</v>
      </c>
      <c r="J196" s="10" t="n">
        <f aca="false">IF($D196="",0,IF(AND(OR(Test!$B$4="Hepsi",$B196=Test!$B$4),OR(Test!$B$5="Hepsi",$C196=Test!$B$5)),1,0))</f>
        <v>1</v>
      </c>
      <c r="K196" s="10" t="n">
        <f aca="true">IF($J196=1,RAND(),-1)</f>
        <v>0.723253180773055</v>
      </c>
      <c r="L196" s="10" t="n">
        <f aca="false">IF($J196=1,RANK($K196,$K$2:$K$1001),"")</f>
        <v>70</v>
      </c>
    </row>
    <row r="197" customFormat="false" ht="15" hidden="false" customHeight="false" outlineLevel="0" collapsed="false">
      <c r="A197" s="12" t="n">
        <v>196</v>
      </c>
      <c r="B197" s="12" t="s">
        <v>395</v>
      </c>
      <c r="C197" s="12" t="s">
        <v>141</v>
      </c>
      <c r="D197" s="11" t="s">
        <v>444</v>
      </c>
      <c r="E197" s="12" t="s">
        <v>34</v>
      </c>
      <c r="F197" s="12" t="s">
        <v>144</v>
      </c>
      <c r="G197" s="12" t="s">
        <v>32</v>
      </c>
      <c r="H197" s="12" t="s">
        <v>29</v>
      </c>
      <c r="I197" s="12" t="s">
        <v>20</v>
      </c>
      <c r="J197" s="10" t="n">
        <f aca="false">IF($D197="",0,IF(AND(OR(Test!$B$4="Hepsi",$B197=Test!$B$4),OR(Test!$B$5="Hepsi",$C197=Test!$B$5)),1,0))</f>
        <v>1</v>
      </c>
      <c r="K197" s="10" t="n">
        <f aca="true">IF($J197=1,RAND(),-1)</f>
        <v>0.759554048212421</v>
      </c>
      <c r="L197" s="10" t="n">
        <f aca="false">IF($J197=1,RANK($K197,$K$2:$K$1001),"")</f>
        <v>62</v>
      </c>
    </row>
    <row r="198" customFormat="false" ht="15" hidden="false" customHeight="false" outlineLevel="0" collapsed="false">
      <c r="A198" s="12" t="n">
        <v>197</v>
      </c>
      <c r="B198" s="12" t="s">
        <v>395</v>
      </c>
      <c r="C198" s="12" t="s">
        <v>141</v>
      </c>
      <c r="D198" s="11" t="s">
        <v>445</v>
      </c>
      <c r="E198" s="12" t="s">
        <v>29</v>
      </c>
      <c r="F198" s="12" t="s">
        <v>144</v>
      </c>
      <c r="G198" s="12" t="s">
        <v>35</v>
      </c>
      <c r="H198" s="12" t="s">
        <v>34</v>
      </c>
      <c r="I198" s="12" t="s">
        <v>18</v>
      </c>
      <c r="J198" s="10" t="n">
        <f aca="false">IF($D198="",0,IF(AND(OR(Test!$B$4="Hepsi",$B198=Test!$B$4),OR(Test!$B$5="Hepsi",$C198=Test!$B$5)),1,0))</f>
        <v>1</v>
      </c>
      <c r="K198" s="10" t="n">
        <f aca="true">IF($J198=1,RAND(),-1)</f>
        <v>0.771394662682491</v>
      </c>
      <c r="L198" s="10" t="n">
        <f aca="false">IF($J198=1,RANK($K198,$K$2:$K$1001),"")</f>
        <v>59</v>
      </c>
    </row>
    <row r="199" customFormat="false" ht="15" hidden="false" customHeight="false" outlineLevel="0" collapsed="false">
      <c r="A199" s="12" t="n">
        <v>198</v>
      </c>
      <c r="B199" s="12" t="s">
        <v>395</v>
      </c>
      <c r="C199" s="12" t="s">
        <v>141</v>
      </c>
      <c r="D199" s="11" t="s">
        <v>446</v>
      </c>
      <c r="E199" s="12" t="s">
        <v>144</v>
      </c>
      <c r="F199" s="12" t="s">
        <v>34</v>
      </c>
      <c r="G199" s="12" t="s">
        <v>147</v>
      </c>
      <c r="H199" s="12" t="s">
        <v>44</v>
      </c>
      <c r="I199" s="12" t="s">
        <v>18</v>
      </c>
      <c r="J199" s="10" t="n">
        <f aca="false">IF($D199="",0,IF(AND(OR(Test!$B$4="Hepsi",$B199=Test!$B$4),OR(Test!$B$5="Hepsi",$C199=Test!$B$5)),1,0))</f>
        <v>1</v>
      </c>
      <c r="K199" s="10" t="n">
        <f aca="true">IF($J199=1,RAND(),-1)</f>
        <v>0.594321518862726</v>
      </c>
      <c r="L199" s="10" t="n">
        <f aca="false">IF($J199=1,RANK($K199,$K$2:$K$1001),"")</f>
        <v>101</v>
      </c>
    </row>
    <row r="200" customFormat="false" ht="15" hidden="false" customHeight="false" outlineLevel="0" collapsed="false">
      <c r="A200" s="12" t="n">
        <v>199</v>
      </c>
      <c r="B200" s="12" t="s">
        <v>395</v>
      </c>
      <c r="C200" s="12" t="s">
        <v>141</v>
      </c>
      <c r="D200" s="11" t="s">
        <v>447</v>
      </c>
      <c r="E200" s="12" t="s">
        <v>34</v>
      </c>
      <c r="F200" s="12" t="s">
        <v>35</v>
      </c>
      <c r="G200" s="12" t="s">
        <v>54</v>
      </c>
      <c r="H200" s="12" t="s">
        <v>147</v>
      </c>
      <c r="I200" s="12" t="s">
        <v>18</v>
      </c>
      <c r="J200" s="10" t="n">
        <f aca="false">IF($D200="",0,IF(AND(OR(Test!$B$4="Hepsi",$B200=Test!$B$4),OR(Test!$B$5="Hepsi",$C200=Test!$B$5)),1,0))</f>
        <v>1</v>
      </c>
      <c r="K200" s="10" t="n">
        <f aca="true">IF($J200=1,RAND(),-1)</f>
        <v>0.969284391314685</v>
      </c>
      <c r="L200" s="10" t="n">
        <f aca="false">IF($J200=1,RANK($K200,$K$2:$K$1001),"")</f>
        <v>12</v>
      </c>
    </row>
    <row r="201" customFormat="false" ht="15" hidden="false" customHeight="false" outlineLevel="0" collapsed="false">
      <c r="A201" s="12" t="n">
        <v>200</v>
      </c>
      <c r="B201" s="12" t="s">
        <v>395</v>
      </c>
      <c r="C201" s="12" t="s">
        <v>141</v>
      </c>
      <c r="D201" s="11" t="s">
        <v>448</v>
      </c>
      <c r="E201" s="12" t="s">
        <v>147</v>
      </c>
      <c r="F201" s="12" t="s">
        <v>38</v>
      </c>
      <c r="G201" s="12" t="s">
        <v>35</v>
      </c>
      <c r="H201" s="12" t="s">
        <v>62</v>
      </c>
      <c r="I201" s="12" t="s">
        <v>18</v>
      </c>
      <c r="J201" s="10" t="n">
        <f aca="false">IF($D201="",0,IF(AND(OR(Test!$B$4="Hepsi",$B201=Test!$B$4),OR(Test!$B$5="Hepsi",$C201=Test!$B$5)),1,0))</f>
        <v>1</v>
      </c>
      <c r="K201" s="10" t="n">
        <f aca="true">IF($J201=1,RAND(),-1)</f>
        <v>0.392009302430543</v>
      </c>
      <c r="L201" s="10" t="n">
        <f aca="false">IF($J201=1,RANK($K201,$K$2:$K$1001),"")</f>
        <v>150</v>
      </c>
    </row>
    <row r="202" customFormat="false" ht="15" hidden="false" customHeight="false" outlineLevel="0" collapsed="false">
      <c r="A202" s="12" t="n">
        <v>201</v>
      </c>
      <c r="B202" s="12" t="s">
        <v>395</v>
      </c>
      <c r="C202" s="12" t="s">
        <v>141</v>
      </c>
      <c r="D202" s="11" t="s">
        <v>449</v>
      </c>
      <c r="E202" s="12" t="s">
        <v>38</v>
      </c>
      <c r="F202" s="12" t="s">
        <v>35</v>
      </c>
      <c r="G202" s="12" t="s">
        <v>36</v>
      </c>
      <c r="H202" s="12" t="s">
        <v>162</v>
      </c>
      <c r="I202" s="12" t="s">
        <v>19</v>
      </c>
      <c r="J202" s="10" t="n">
        <f aca="false">IF($D202="",0,IF(AND(OR(Test!$B$4="Hepsi",$B202=Test!$B$4),OR(Test!$B$5="Hepsi",$C202=Test!$B$5)),1,0))</f>
        <v>1</v>
      </c>
      <c r="K202" s="10" t="n">
        <f aca="true">IF($J202=1,RAND(),-1)</f>
        <v>0.230599097116318</v>
      </c>
      <c r="L202" s="10" t="n">
        <f aca="false">IF($J202=1,RANK($K202,$K$2:$K$1001),"")</f>
        <v>180</v>
      </c>
    </row>
    <row r="203" customFormat="false" ht="15" hidden="false" customHeight="false" outlineLevel="0" collapsed="false">
      <c r="A203" s="12" t="n">
        <v>202</v>
      </c>
      <c r="B203" s="12" t="s">
        <v>395</v>
      </c>
      <c r="C203" s="12" t="s">
        <v>217</v>
      </c>
      <c r="D203" s="11" t="s">
        <v>450</v>
      </c>
      <c r="E203" s="12" t="s">
        <v>62</v>
      </c>
      <c r="F203" s="12" t="s">
        <v>451</v>
      </c>
      <c r="G203" s="12" t="s">
        <v>35</v>
      </c>
      <c r="H203" s="12" t="s">
        <v>29</v>
      </c>
      <c r="I203" s="12" t="s">
        <v>20</v>
      </c>
      <c r="J203" s="10" t="n">
        <f aca="false">IF($D203="",0,IF(AND(OR(Test!$B$4="Hepsi",$B203=Test!$B$4),OR(Test!$B$5="Hepsi",$C203=Test!$B$5)),1,0))</f>
        <v>1</v>
      </c>
      <c r="K203" s="10" t="n">
        <f aca="true">IF($J203=1,RAND(),-1)</f>
        <v>0.551817468651813</v>
      </c>
      <c r="L203" s="10" t="n">
        <f aca="false">IF($J203=1,RANK($K203,$K$2:$K$1001),"")</f>
        <v>110</v>
      </c>
    </row>
    <row r="204" customFormat="false" ht="15" hidden="false" customHeight="false" outlineLevel="0" collapsed="false">
      <c r="A204" s="12" t="n">
        <v>203</v>
      </c>
      <c r="B204" s="12" t="s">
        <v>395</v>
      </c>
      <c r="C204" s="12" t="s">
        <v>217</v>
      </c>
      <c r="D204" s="11" t="s">
        <v>452</v>
      </c>
      <c r="E204" s="12" t="s">
        <v>453</v>
      </c>
      <c r="F204" s="12" t="s">
        <v>44</v>
      </c>
      <c r="G204" s="12" t="s">
        <v>38</v>
      </c>
      <c r="H204" s="12" t="s">
        <v>40</v>
      </c>
      <c r="I204" s="12" t="s">
        <v>21</v>
      </c>
      <c r="J204" s="10" t="n">
        <f aca="false">IF($D204="",0,IF(AND(OR(Test!$B$4="Hepsi",$B204=Test!$B$4),OR(Test!$B$5="Hepsi",$C204=Test!$B$5)),1,0))</f>
        <v>1</v>
      </c>
      <c r="K204" s="10" t="n">
        <f aca="true">IF($J204=1,RAND(),-1)</f>
        <v>0.616636833816476</v>
      </c>
      <c r="L204" s="10" t="n">
        <f aca="false">IF($J204=1,RANK($K204,$K$2:$K$1001),"")</f>
        <v>95</v>
      </c>
    </row>
    <row r="205" customFormat="false" ht="15" hidden="false" customHeight="false" outlineLevel="0" collapsed="false">
      <c r="A205" s="12" t="n">
        <v>204</v>
      </c>
      <c r="B205" s="12" t="s">
        <v>395</v>
      </c>
      <c r="C205" s="12" t="s">
        <v>217</v>
      </c>
      <c r="D205" s="11" t="s">
        <v>454</v>
      </c>
      <c r="E205" s="12" t="s">
        <v>269</v>
      </c>
      <c r="F205" s="12" t="s">
        <v>455</v>
      </c>
      <c r="G205" s="12" t="s">
        <v>45</v>
      </c>
      <c r="H205" s="12" t="s">
        <v>42</v>
      </c>
      <c r="I205" s="12" t="s">
        <v>21</v>
      </c>
      <c r="J205" s="10" t="n">
        <f aca="false">IF($D205="",0,IF(AND(OR(Test!$B$4="Hepsi",$B205=Test!$B$4),OR(Test!$B$5="Hepsi",$C205=Test!$B$5)),1,0))</f>
        <v>1</v>
      </c>
      <c r="K205" s="10" t="n">
        <f aca="true">IF($J205=1,RAND(),-1)</f>
        <v>0.221645169077529</v>
      </c>
      <c r="L205" s="10" t="n">
        <f aca="false">IF($J205=1,RANK($K205,$K$2:$K$1001),"")</f>
        <v>183</v>
      </c>
    </row>
    <row r="206" customFormat="false" ht="15" hidden="false" customHeight="false" outlineLevel="0" collapsed="false">
      <c r="A206" s="12" t="n">
        <v>205</v>
      </c>
      <c r="B206" s="12" t="s">
        <v>395</v>
      </c>
      <c r="C206" s="12" t="s">
        <v>217</v>
      </c>
      <c r="D206" s="11" t="s">
        <v>456</v>
      </c>
      <c r="E206" s="12" t="s">
        <v>457</v>
      </c>
      <c r="F206" s="12" t="s">
        <v>173</v>
      </c>
      <c r="G206" s="12" t="s">
        <v>48</v>
      </c>
      <c r="H206" s="12" t="s">
        <v>49</v>
      </c>
      <c r="I206" s="12" t="s">
        <v>20</v>
      </c>
      <c r="J206" s="10" t="n">
        <f aca="false">IF($D206="",0,IF(AND(OR(Test!$B$4="Hepsi",$B206=Test!$B$4),OR(Test!$B$5="Hepsi",$C206=Test!$B$5)),1,0))</f>
        <v>1</v>
      </c>
      <c r="K206" s="10" t="n">
        <f aca="true">IF($J206=1,RAND(),-1)</f>
        <v>0.436602555837475</v>
      </c>
      <c r="L206" s="10" t="n">
        <f aca="false">IF($J206=1,RANK($K206,$K$2:$K$1001),"")</f>
        <v>135</v>
      </c>
    </row>
    <row r="207" customFormat="false" ht="15" hidden="false" customHeight="false" outlineLevel="0" collapsed="false">
      <c r="A207" s="12" t="n">
        <v>206</v>
      </c>
      <c r="B207" s="12" t="s">
        <v>395</v>
      </c>
      <c r="C207" s="12" t="s">
        <v>217</v>
      </c>
      <c r="D207" s="11" t="s">
        <v>458</v>
      </c>
      <c r="E207" s="12" t="s">
        <v>62</v>
      </c>
      <c r="F207" s="12" t="s">
        <v>53</v>
      </c>
      <c r="G207" s="12" t="s">
        <v>459</v>
      </c>
      <c r="H207" s="12" t="s">
        <v>55</v>
      </c>
      <c r="I207" s="12" t="s">
        <v>21</v>
      </c>
      <c r="J207" s="10" t="n">
        <f aca="false">IF($D207="",0,IF(AND(OR(Test!$B$4="Hepsi",$B207=Test!$B$4),OR(Test!$B$5="Hepsi",$C207=Test!$B$5)),1,0))</f>
        <v>1</v>
      </c>
      <c r="K207" s="10" t="n">
        <f aca="true">IF($J207=1,RAND(),-1)</f>
        <v>0.409404439578388</v>
      </c>
      <c r="L207" s="10" t="n">
        <f aca="false">IF($J207=1,RANK($K207,$K$2:$K$1001),"")</f>
        <v>144</v>
      </c>
    </row>
    <row r="208" customFormat="false" ht="15" hidden="false" customHeight="false" outlineLevel="0" collapsed="false">
      <c r="A208" s="12" t="n">
        <v>207</v>
      </c>
      <c r="B208" s="12" t="s">
        <v>395</v>
      </c>
      <c r="C208" s="12" t="s">
        <v>217</v>
      </c>
      <c r="D208" s="11" t="s">
        <v>460</v>
      </c>
      <c r="E208" s="12" t="s">
        <v>57</v>
      </c>
      <c r="F208" s="12" t="s">
        <v>58</v>
      </c>
      <c r="G208" s="12" t="s">
        <v>461</v>
      </c>
      <c r="H208" s="12" t="s">
        <v>237</v>
      </c>
      <c r="I208" s="12" t="s">
        <v>18</v>
      </c>
      <c r="J208" s="10" t="n">
        <f aca="false">IF($D208="",0,IF(AND(OR(Test!$B$4="Hepsi",$B208=Test!$B$4),OR(Test!$B$5="Hepsi",$C208=Test!$B$5)),1,0))</f>
        <v>1</v>
      </c>
      <c r="K208" s="10" t="n">
        <f aca="true">IF($J208=1,RAND(),-1)</f>
        <v>0.553372963074263</v>
      </c>
      <c r="L208" s="10" t="n">
        <f aca="false">IF($J208=1,RANK($K208,$K$2:$K$1001),"")</f>
        <v>109</v>
      </c>
    </row>
    <row r="209" customFormat="false" ht="15" hidden="false" customHeight="false" outlineLevel="0" collapsed="false">
      <c r="A209" s="12" t="n">
        <v>208</v>
      </c>
      <c r="B209" s="12" t="s">
        <v>395</v>
      </c>
      <c r="C209" s="12" t="s">
        <v>217</v>
      </c>
      <c r="D209" s="11" t="s">
        <v>462</v>
      </c>
      <c r="E209" s="12" t="s">
        <v>162</v>
      </c>
      <c r="F209" s="12" t="s">
        <v>463</v>
      </c>
      <c r="G209" s="12" t="s">
        <v>63</v>
      </c>
      <c r="H209" s="12" t="s">
        <v>42</v>
      </c>
      <c r="I209" s="12" t="s">
        <v>20</v>
      </c>
      <c r="J209" s="10" t="n">
        <f aca="false">IF($D209="",0,IF(AND(OR(Test!$B$4="Hepsi",$B209=Test!$B$4),OR(Test!$B$5="Hepsi",$C209=Test!$B$5)),1,0))</f>
        <v>1</v>
      </c>
      <c r="K209" s="10" t="n">
        <f aca="true">IF($J209=1,RAND(),-1)</f>
        <v>0.0938525582405713</v>
      </c>
      <c r="L209" s="10" t="n">
        <f aca="false">IF($J209=1,RANK($K209,$K$2:$K$1001),"")</f>
        <v>206</v>
      </c>
    </row>
    <row r="210" customFormat="false" ht="15" hidden="false" customHeight="false" outlineLevel="0" collapsed="false">
      <c r="A210" s="12" t="n">
        <v>209</v>
      </c>
      <c r="B210" s="12" t="s">
        <v>395</v>
      </c>
      <c r="C210" s="12" t="s">
        <v>217</v>
      </c>
      <c r="D210" s="11" t="s">
        <v>464</v>
      </c>
      <c r="E210" s="12" t="s">
        <v>44</v>
      </c>
      <c r="F210" s="12" t="s">
        <v>40</v>
      </c>
      <c r="G210" s="12" t="s">
        <v>35</v>
      </c>
      <c r="H210" s="12" t="s">
        <v>29</v>
      </c>
      <c r="I210" s="12" t="s">
        <v>20</v>
      </c>
      <c r="J210" s="10" t="n">
        <f aca="false">IF($D210="",0,IF(AND(OR(Test!$B$4="Hepsi",$B210=Test!$B$4),OR(Test!$B$5="Hepsi",$C210=Test!$B$5)),1,0))</f>
        <v>1</v>
      </c>
      <c r="K210" s="10" t="n">
        <f aca="true">IF($J210=1,RAND(),-1)</f>
        <v>0.0188874080283083</v>
      </c>
      <c r="L210" s="10" t="n">
        <f aca="false">IF($J210=1,RANK($K210,$K$2:$K$1001),"")</f>
        <v>223</v>
      </c>
    </row>
    <row r="211" customFormat="false" ht="15" hidden="false" customHeight="false" outlineLevel="0" collapsed="false">
      <c r="A211" s="12" t="n">
        <v>210</v>
      </c>
      <c r="B211" s="12" t="s">
        <v>395</v>
      </c>
      <c r="C211" s="12" t="s">
        <v>217</v>
      </c>
      <c r="D211" s="11" t="s">
        <v>465</v>
      </c>
      <c r="E211" s="12" t="s">
        <v>42</v>
      </c>
      <c r="F211" s="12" t="s">
        <v>54</v>
      </c>
      <c r="G211" s="12" t="s">
        <v>38</v>
      </c>
      <c r="H211" s="12" t="s">
        <v>40</v>
      </c>
      <c r="I211" s="12" t="s">
        <v>21</v>
      </c>
      <c r="J211" s="10" t="n">
        <f aca="false">IF($D211="",0,IF(AND(OR(Test!$B$4="Hepsi",$B211=Test!$B$4),OR(Test!$B$5="Hepsi",$C211=Test!$B$5)),1,0))</f>
        <v>1</v>
      </c>
      <c r="K211" s="10" t="n">
        <f aca="true">IF($J211=1,RAND(),-1)</f>
        <v>0.287458515572727</v>
      </c>
      <c r="L211" s="10" t="n">
        <f aca="false">IF($J211=1,RANK($K211,$K$2:$K$1001),"")</f>
        <v>171</v>
      </c>
    </row>
    <row r="212" customFormat="false" ht="15" hidden="false" customHeight="false" outlineLevel="0" collapsed="false">
      <c r="A212" s="12" t="n">
        <v>211</v>
      </c>
      <c r="B212" s="12" t="s">
        <v>395</v>
      </c>
      <c r="C212" s="12" t="s">
        <v>217</v>
      </c>
      <c r="D212" s="11" t="s">
        <v>466</v>
      </c>
      <c r="E212" s="12" t="s">
        <v>62</v>
      </c>
      <c r="F212" s="12" t="s">
        <v>42</v>
      </c>
      <c r="G212" s="12" t="s">
        <v>320</v>
      </c>
      <c r="H212" s="12" t="s">
        <v>45</v>
      </c>
      <c r="I212" s="12" t="s">
        <v>19</v>
      </c>
      <c r="J212" s="10" t="n">
        <f aca="false">IF($D212="",0,IF(AND(OR(Test!$B$4="Hepsi",$B212=Test!$B$4),OR(Test!$B$5="Hepsi",$C212=Test!$B$5)),1,0))</f>
        <v>1</v>
      </c>
      <c r="K212" s="10" t="n">
        <f aca="true">IF($J212=1,RAND(),-1)</f>
        <v>0.648622441677736</v>
      </c>
      <c r="L212" s="10" t="n">
        <f aca="false">IF($J212=1,RANK($K212,$K$2:$K$1001),"")</f>
        <v>88</v>
      </c>
    </row>
    <row r="213" customFormat="false" ht="15" hidden="false" customHeight="false" outlineLevel="0" collapsed="false">
      <c r="A213" s="12" t="n">
        <v>212</v>
      </c>
      <c r="B213" s="12" t="s">
        <v>395</v>
      </c>
      <c r="C213" s="12" t="s">
        <v>217</v>
      </c>
      <c r="D213" s="11" t="s">
        <v>467</v>
      </c>
      <c r="E213" s="12" t="s">
        <v>49</v>
      </c>
      <c r="F213" s="12" t="s">
        <v>48</v>
      </c>
      <c r="G213" s="12" t="s">
        <v>39</v>
      </c>
      <c r="H213" s="12" t="s">
        <v>468</v>
      </c>
      <c r="I213" s="12" t="s">
        <v>19</v>
      </c>
      <c r="J213" s="10" t="n">
        <f aca="false">IF($D213="",0,IF(AND(OR(Test!$B$4="Hepsi",$B213=Test!$B$4),OR(Test!$B$5="Hepsi",$C213=Test!$B$5)),1,0))</f>
        <v>1</v>
      </c>
      <c r="K213" s="10" t="n">
        <f aca="true">IF($J213=1,RAND(),-1)</f>
        <v>0.911125238480754</v>
      </c>
      <c r="L213" s="10" t="n">
        <f aca="false">IF($J213=1,RANK($K213,$K$2:$K$1001),"")</f>
        <v>24</v>
      </c>
    </row>
    <row r="214" customFormat="false" ht="15" hidden="false" customHeight="false" outlineLevel="0" collapsed="false">
      <c r="A214" s="12" t="n">
        <v>213</v>
      </c>
      <c r="B214" s="12" t="s">
        <v>395</v>
      </c>
      <c r="C214" s="12" t="s">
        <v>217</v>
      </c>
      <c r="D214" s="11" t="s">
        <v>469</v>
      </c>
      <c r="E214" s="12" t="s">
        <v>57</v>
      </c>
      <c r="F214" s="12" t="s">
        <v>324</v>
      </c>
      <c r="G214" s="12" t="s">
        <v>53</v>
      </c>
      <c r="H214" s="12" t="s">
        <v>55</v>
      </c>
      <c r="I214" s="12" t="s">
        <v>21</v>
      </c>
      <c r="J214" s="10" t="n">
        <f aca="false">IF($D214="",0,IF(AND(OR(Test!$B$4="Hepsi",$B214=Test!$B$4),OR(Test!$B$5="Hepsi",$C214=Test!$B$5)),1,0))</f>
        <v>1</v>
      </c>
      <c r="K214" s="10" t="n">
        <f aca="true">IF($J214=1,RAND(),-1)</f>
        <v>0.585189525589817</v>
      </c>
      <c r="L214" s="10" t="n">
        <f aca="false">IF($J214=1,RANK($K214,$K$2:$K$1001),"")</f>
        <v>103</v>
      </c>
    </row>
    <row r="215" customFormat="false" ht="15" hidden="false" customHeight="false" outlineLevel="0" collapsed="false">
      <c r="A215" s="12" t="n">
        <v>214</v>
      </c>
      <c r="B215" s="12" t="s">
        <v>395</v>
      </c>
      <c r="C215" s="12" t="s">
        <v>217</v>
      </c>
      <c r="D215" s="11" t="s">
        <v>470</v>
      </c>
      <c r="E215" s="12" t="s">
        <v>58</v>
      </c>
      <c r="F215" s="12" t="s">
        <v>471</v>
      </c>
      <c r="G215" s="12" t="s">
        <v>423</v>
      </c>
      <c r="H215" s="12" t="s">
        <v>57</v>
      </c>
      <c r="I215" s="12" t="s">
        <v>21</v>
      </c>
      <c r="J215" s="10" t="n">
        <f aca="false">IF($D215="",0,IF(AND(OR(Test!$B$4="Hepsi",$B215=Test!$B$4),OR(Test!$B$5="Hepsi",$C215=Test!$B$5)),1,0))</f>
        <v>1</v>
      </c>
      <c r="K215" s="10" t="n">
        <f aca="true">IF($J215=1,RAND(),-1)</f>
        <v>0.897442643385108</v>
      </c>
      <c r="L215" s="10" t="n">
        <f aca="false">IF($J215=1,RANK($K215,$K$2:$K$1001),"")</f>
        <v>29</v>
      </c>
    </row>
    <row r="216" customFormat="false" ht="26.85" hidden="false" customHeight="false" outlineLevel="0" collapsed="false">
      <c r="A216" s="12" t="n">
        <v>215</v>
      </c>
      <c r="B216" s="12" t="s">
        <v>395</v>
      </c>
      <c r="C216" s="12" t="s">
        <v>217</v>
      </c>
      <c r="D216" s="11" t="s">
        <v>472</v>
      </c>
      <c r="E216" s="12" t="s">
        <v>34</v>
      </c>
      <c r="F216" s="12" t="s">
        <v>44</v>
      </c>
      <c r="G216" s="12" t="s">
        <v>38</v>
      </c>
      <c r="H216" s="12" t="s">
        <v>30</v>
      </c>
      <c r="I216" s="12" t="s">
        <v>21</v>
      </c>
      <c r="J216" s="10" t="n">
        <f aca="false">IF($D216="",0,IF(AND(OR(Test!$B$4="Hepsi",$B216=Test!$B$4),OR(Test!$B$5="Hepsi",$C216=Test!$B$5)),1,0))</f>
        <v>1</v>
      </c>
      <c r="K216" s="10" t="n">
        <f aca="true">IF($J216=1,RAND(),-1)</f>
        <v>0.953672062320115</v>
      </c>
      <c r="L216" s="10" t="n">
        <f aca="false">IF($J216=1,RANK($K216,$K$2:$K$1001),"")</f>
        <v>16</v>
      </c>
    </row>
    <row r="217" customFormat="false" ht="26.85" hidden="false" customHeight="false" outlineLevel="0" collapsed="false">
      <c r="A217" s="12" t="n">
        <v>216</v>
      </c>
      <c r="B217" s="12" t="s">
        <v>395</v>
      </c>
      <c r="C217" s="12" t="s">
        <v>217</v>
      </c>
      <c r="D217" s="11" t="s">
        <v>473</v>
      </c>
      <c r="E217" s="12" t="s">
        <v>34</v>
      </c>
      <c r="F217" s="12" t="s">
        <v>44</v>
      </c>
      <c r="G217" s="12" t="s">
        <v>54</v>
      </c>
      <c r="H217" s="12" t="s">
        <v>30</v>
      </c>
      <c r="I217" s="12" t="s">
        <v>18</v>
      </c>
      <c r="J217" s="10" t="n">
        <f aca="false">IF($D217="",0,IF(AND(OR(Test!$B$4="Hepsi",$B217=Test!$B$4),OR(Test!$B$5="Hepsi",$C217=Test!$B$5)),1,0))</f>
        <v>1</v>
      </c>
      <c r="K217" s="10" t="n">
        <f aca="true">IF($J217=1,RAND(),-1)</f>
        <v>0.808199142711801</v>
      </c>
      <c r="L217" s="10" t="n">
        <f aca="false">IF($J217=1,RANK($K217,$K$2:$K$1001),"")</f>
        <v>51</v>
      </c>
    </row>
    <row r="218" customFormat="false" ht="26.85" hidden="false" customHeight="false" outlineLevel="0" collapsed="false">
      <c r="A218" s="12" t="n">
        <v>217</v>
      </c>
      <c r="B218" s="12" t="s">
        <v>395</v>
      </c>
      <c r="C218" s="12" t="s">
        <v>217</v>
      </c>
      <c r="D218" s="11" t="s">
        <v>474</v>
      </c>
      <c r="E218" s="12" t="s">
        <v>34</v>
      </c>
      <c r="F218" s="12" t="s">
        <v>44</v>
      </c>
      <c r="G218" s="12" t="s">
        <v>35</v>
      </c>
      <c r="H218" s="12" t="s">
        <v>53</v>
      </c>
      <c r="I218" s="12" t="s">
        <v>19</v>
      </c>
      <c r="J218" s="10" t="n">
        <f aca="false">IF($D218="",0,IF(AND(OR(Test!$B$4="Hepsi",$B218=Test!$B$4),OR(Test!$B$5="Hepsi",$C218=Test!$B$5)),1,0))</f>
        <v>1</v>
      </c>
      <c r="K218" s="10" t="n">
        <f aca="true">IF($J218=1,RAND(),-1)</f>
        <v>0.97243505976961</v>
      </c>
      <c r="L218" s="10" t="n">
        <f aca="false">IF($J218=1,RANK($K218,$K$2:$K$1001),"")</f>
        <v>11</v>
      </c>
    </row>
    <row r="219" customFormat="false" ht="26.85" hidden="false" customHeight="false" outlineLevel="0" collapsed="false">
      <c r="A219" s="12" t="n">
        <v>218</v>
      </c>
      <c r="B219" s="12" t="s">
        <v>395</v>
      </c>
      <c r="C219" s="12" t="s">
        <v>217</v>
      </c>
      <c r="D219" s="11" t="s">
        <v>475</v>
      </c>
      <c r="E219" s="12" t="s">
        <v>35</v>
      </c>
      <c r="F219" s="12" t="s">
        <v>62</v>
      </c>
      <c r="G219" s="12" t="s">
        <v>38</v>
      </c>
      <c r="H219" s="12" t="s">
        <v>224</v>
      </c>
      <c r="I219" s="12" t="s">
        <v>18</v>
      </c>
      <c r="J219" s="10" t="n">
        <f aca="false">IF($D219="",0,IF(AND(OR(Test!$B$4="Hepsi",$B219=Test!$B$4),OR(Test!$B$5="Hepsi",$C219=Test!$B$5)),1,0))</f>
        <v>1</v>
      </c>
      <c r="K219" s="10" t="n">
        <f aca="true">IF($J219=1,RAND(),-1)</f>
        <v>0.940287769370756</v>
      </c>
      <c r="L219" s="10" t="n">
        <f aca="false">IF($J219=1,RANK($K219,$K$2:$K$1001),"")</f>
        <v>22</v>
      </c>
    </row>
    <row r="220" customFormat="false" ht="26.85" hidden="false" customHeight="false" outlineLevel="0" collapsed="false">
      <c r="A220" s="12" t="n">
        <v>219</v>
      </c>
      <c r="B220" s="12" t="s">
        <v>395</v>
      </c>
      <c r="C220" s="12" t="s">
        <v>217</v>
      </c>
      <c r="D220" s="11" t="s">
        <v>476</v>
      </c>
      <c r="E220" s="12" t="s">
        <v>49</v>
      </c>
      <c r="F220" s="12" t="s">
        <v>35</v>
      </c>
      <c r="G220" s="12" t="s">
        <v>62</v>
      </c>
      <c r="H220" s="12" t="s">
        <v>191</v>
      </c>
      <c r="I220" s="12" t="s">
        <v>20</v>
      </c>
      <c r="J220" s="10" t="n">
        <f aca="false">IF($D220="",0,IF(AND(OR(Test!$B$4="Hepsi",$B220=Test!$B$4),OR(Test!$B$5="Hepsi",$C220=Test!$B$5)),1,0))</f>
        <v>1</v>
      </c>
      <c r="K220" s="10" t="n">
        <f aca="true">IF($J220=1,RAND(),-1)</f>
        <v>0.722589008446227</v>
      </c>
      <c r="L220" s="10" t="n">
        <f aca="false">IF($J220=1,RANK($K220,$K$2:$K$1001),"")</f>
        <v>72</v>
      </c>
    </row>
    <row r="221" customFormat="false" ht="26.85" hidden="false" customHeight="false" outlineLevel="0" collapsed="false">
      <c r="A221" s="12" t="n">
        <v>220</v>
      </c>
      <c r="B221" s="12" t="s">
        <v>395</v>
      </c>
      <c r="C221" s="12" t="s">
        <v>217</v>
      </c>
      <c r="D221" s="11" t="s">
        <v>477</v>
      </c>
      <c r="E221" s="12" t="s">
        <v>35</v>
      </c>
      <c r="F221" s="12" t="s">
        <v>49</v>
      </c>
      <c r="G221" s="12" t="s">
        <v>320</v>
      </c>
      <c r="H221" s="12" t="s">
        <v>62</v>
      </c>
      <c r="I221" s="12" t="s">
        <v>21</v>
      </c>
      <c r="J221" s="10" t="n">
        <f aca="false">IF($D221="",0,IF(AND(OR(Test!$B$4="Hepsi",$B221=Test!$B$4),OR(Test!$B$5="Hepsi",$C221=Test!$B$5)),1,0))</f>
        <v>1</v>
      </c>
      <c r="K221" s="10" t="n">
        <f aca="true">IF($J221=1,RAND(),-1)</f>
        <v>0.415910863311862</v>
      </c>
      <c r="L221" s="10" t="n">
        <f aca="false">IF($J221=1,RANK($K221,$K$2:$K$1001),"")</f>
        <v>140</v>
      </c>
    </row>
    <row r="222" customFormat="false" ht="26.85" hidden="false" customHeight="false" outlineLevel="0" collapsed="false">
      <c r="A222" s="12" t="n">
        <v>221</v>
      </c>
      <c r="B222" s="12" t="s">
        <v>395</v>
      </c>
      <c r="C222" s="12" t="s">
        <v>217</v>
      </c>
      <c r="D222" s="11" t="s">
        <v>478</v>
      </c>
      <c r="E222" s="12" t="s">
        <v>40</v>
      </c>
      <c r="F222" s="12" t="s">
        <v>53</v>
      </c>
      <c r="G222" s="12" t="s">
        <v>197</v>
      </c>
      <c r="H222" s="12" t="s">
        <v>479</v>
      </c>
      <c r="I222" s="12" t="s">
        <v>18</v>
      </c>
      <c r="J222" s="10" t="n">
        <f aca="false">IF($D222="",0,IF(AND(OR(Test!$B$4="Hepsi",$B222=Test!$B$4),OR(Test!$B$5="Hepsi",$C222=Test!$B$5)),1,0))</f>
        <v>1</v>
      </c>
      <c r="K222" s="10" t="n">
        <f aca="true">IF($J222=1,RAND(),-1)</f>
        <v>0.407499094885848</v>
      </c>
      <c r="L222" s="10" t="n">
        <f aca="false">IF($J222=1,RANK($K222,$K$2:$K$1001),"")</f>
        <v>146</v>
      </c>
    </row>
    <row r="223" customFormat="false" ht="26.85" hidden="false" customHeight="false" outlineLevel="0" collapsed="false">
      <c r="A223" s="12" t="n">
        <v>222</v>
      </c>
      <c r="B223" s="12" t="s">
        <v>395</v>
      </c>
      <c r="C223" s="12" t="s">
        <v>217</v>
      </c>
      <c r="D223" s="11" t="s">
        <v>480</v>
      </c>
      <c r="E223" s="12" t="s">
        <v>40</v>
      </c>
      <c r="F223" s="12" t="s">
        <v>39</v>
      </c>
      <c r="G223" s="12" t="s">
        <v>197</v>
      </c>
      <c r="H223" s="12" t="s">
        <v>53</v>
      </c>
      <c r="I223" s="12" t="s">
        <v>20</v>
      </c>
      <c r="J223" s="10" t="n">
        <f aca="false">IF($D223="",0,IF(AND(OR(Test!$B$4="Hepsi",$B223=Test!$B$4),OR(Test!$B$5="Hepsi",$C223=Test!$B$5)),1,0))</f>
        <v>1</v>
      </c>
      <c r="K223" s="10" t="n">
        <f aca="true">IF($J223=1,RAND(),-1)</f>
        <v>0.128567689401755</v>
      </c>
      <c r="L223" s="10" t="n">
        <f aca="false">IF($J223=1,RANK($K223,$K$2:$K$1001),"")</f>
        <v>200</v>
      </c>
    </row>
    <row r="224" customFormat="false" ht="26.85" hidden="false" customHeight="false" outlineLevel="0" collapsed="false">
      <c r="A224" s="12" t="n">
        <v>223</v>
      </c>
      <c r="B224" s="12" t="s">
        <v>395</v>
      </c>
      <c r="C224" s="12" t="s">
        <v>217</v>
      </c>
      <c r="D224" s="11" t="s">
        <v>481</v>
      </c>
      <c r="E224" s="12" t="s">
        <v>53</v>
      </c>
      <c r="F224" s="12" t="s">
        <v>35</v>
      </c>
      <c r="G224" s="12" t="s">
        <v>420</v>
      </c>
      <c r="H224" s="12" t="s">
        <v>197</v>
      </c>
      <c r="I224" s="12" t="s">
        <v>18</v>
      </c>
      <c r="J224" s="10" t="n">
        <f aca="false">IF($D224="",0,IF(AND(OR(Test!$B$4="Hepsi",$B224=Test!$B$4),OR(Test!$B$5="Hepsi",$C224=Test!$B$5)),1,0))</f>
        <v>1</v>
      </c>
      <c r="K224" s="10" t="n">
        <f aca="true">IF($J224=1,RAND(),-1)</f>
        <v>0.942269419807299</v>
      </c>
      <c r="L224" s="10" t="n">
        <f aca="false">IF($J224=1,RANK($K224,$K$2:$K$1001),"")</f>
        <v>20</v>
      </c>
    </row>
    <row r="225" customFormat="false" ht="26.85" hidden="false" customHeight="false" outlineLevel="0" collapsed="false">
      <c r="A225" s="12" t="n">
        <v>224</v>
      </c>
      <c r="B225" s="12" t="s">
        <v>395</v>
      </c>
      <c r="C225" s="12" t="s">
        <v>217</v>
      </c>
      <c r="D225" s="11" t="s">
        <v>482</v>
      </c>
      <c r="E225" s="12" t="s">
        <v>35</v>
      </c>
      <c r="F225" s="12" t="s">
        <v>29</v>
      </c>
      <c r="G225" s="12" t="s">
        <v>44</v>
      </c>
      <c r="H225" s="12" t="s">
        <v>34</v>
      </c>
      <c r="I225" s="12" t="s">
        <v>18</v>
      </c>
      <c r="J225" s="10" t="n">
        <f aca="false">IF($D225="",0,IF(AND(OR(Test!$B$4="Hepsi",$B225=Test!$B$4),OR(Test!$B$5="Hepsi",$C225=Test!$B$5)),1,0))</f>
        <v>1</v>
      </c>
      <c r="K225" s="10" t="n">
        <f aca="true">IF($J225=1,RAND(),-1)</f>
        <v>0.894257278763792</v>
      </c>
      <c r="L225" s="10" t="n">
        <f aca="false">IF($J225=1,RANK($K225,$K$2:$K$1001),"")</f>
        <v>30</v>
      </c>
    </row>
    <row r="226" customFormat="false" ht="15" hidden="false" customHeight="false" outlineLevel="0" collapsed="false">
      <c r="J226" s="10" t="n">
        <f aca="false">IF($D226="",0,IF(AND(OR(Test!$B$4="Hepsi",$B226=Test!$B$4),OR(Test!$B$5="Hepsi",$C226=Test!$B$5)),1,0))</f>
        <v>0</v>
      </c>
      <c r="K226" s="10" t="n">
        <f aca="true">IF($J226=1,RAND(),-1)</f>
        <v>-1</v>
      </c>
      <c r="L226" s="10" t="str">
        <f aca="false">IF($J226=1,RANK($K226,$K$2:$K$1001),"")</f>
        <v/>
      </c>
    </row>
    <row r="227" customFormat="false" ht="15" hidden="false" customHeight="false" outlineLevel="0" collapsed="false">
      <c r="J227" s="10" t="n">
        <f aca="false">IF($D227="",0,IF(AND(OR(Test!$B$4="Hepsi",$B227=Test!$B$4),OR(Test!$B$5="Hepsi",$C227=Test!$B$5)),1,0))</f>
        <v>0</v>
      </c>
      <c r="K227" s="10" t="n">
        <f aca="true">IF($J227=1,RAND(),-1)</f>
        <v>-1</v>
      </c>
      <c r="L227" s="10" t="str">
        <f aca="false">IF($J227=1,RANK($K227,$K$2:$K$1001),"")</f>
        <v/>
      </c>
    </row>
    <row r="228" customFormat="false" ht="15" hidden="false" customHeight="false" outlineLevel="0" collapsed="false">
      <c r="J228" s="10" t="n">
        <f aca="false">IF($D228="",0,IF(AND(OR(Test!$B$4="Hepsi",$B228=Test!$B$4),OR(Test!$B$5="Hepsi",$C228=Test!$B$5)),1,0))</f>
        <v>0</v>
      </c>
      <c r="K228" s="10" t="n">
        <f aca="true">IF($J228=1,RAND(),-1)</f>
        <v>-1</v>
      </c>
      <c r="L228" s="10" t="str">
        <f aca="false">IF($J228=1,RANK($K228,$K$2:$K$1001),"")</f>
        <v/>
      </c>
    </row>
    <row r="229" customFormat="false" ht="15" hidden="false" customHeight="false" outlineLevel="0" collapsed="false">
      <c r="J229" s="10" t="n">
        <f aca="false">IF($D229="",0,IF(AND(OR(Test!$B$4="Hepsi",$B229=Test!$B$4),OR(Test!$B$5="Hepsi",$C229=Test!$B$5)),1,0))</f>
        <v>0</v>
      </c>
      <c r="K229" s="10" t="n">
        <f aca="true">IF($J229=1,RAND(),-1)</f>
        <v>-1</v>
      </c>
      <c r="L229" s="10" t="str">
        <f aca="false">IF($J229=1,RANK($K229,$K$2:$K$1001),"")</f>
        <v/>
      </c>
    </row>
    <row r="230" customFormat="false" ht="15" hidden="false" customHeight="false" outlineLevel="0" collapsed="false">
      <c r="J230" s="10" t="n">
        <f aca="false">IF($D230="",0,IF(AND(OR(Test!$B$4="Hepsi",$B230=Test!$B$4),OR(Test!$B$5="Hepsi",$C230=Test!$B$5)),1,0))</f>
        <v>0</v>
      </c>
      <c r="K230" s="10" t="n">
        <f aca="true">IF($J230=1,RAND(),-1)</f>
        <v>-1</v>
      </c>
      <c r="L230" s="10" t="str">
        <f aca="false">IF($J230=1,RANK($K230,$K$2:$K$1001),"")</f>
        <v/>
      </c>
    </row>
    <row r="231" customFormat="false" ht="15" hidden="false" customHeight="false" outlineLevel="0" collapsed="false">
      <c r="J231" s="10" t="n">
        <f aca="false">IF($D231="",0,IF(AND(OR(Test!$B$4="Hepsi",$B231=Test!$B$4),OR(Test!$B$5="Hepsi",$C231=Test!$B$5)),1,0))</f>
        <v>0</v>
      </c>
      <c r="K231" s="10" t="n">
        <f aca="true">IF($J231=1,RAND(),-1)</f>
        <v>-1</v>
      </c>
      <c r="L231" s="10" t="str">
        <f aca="false">IF($J231=1,RANK($K231,$K$2:$K$1001),"")</f>
        <v/>
      </c>
    </row>
    <row r="232" customFormat="false" ht="15" hidden="false" customHeight="false" outlineLevel="0" collapsed="false">
      <c r="J232" s="10" t="n">
        <f aca="false">IF($D232="",0,IF(AND(OR(Test!$B$4="Hepsi",$B232=Test!$B$4),OR(Test!$B$5="Hepsi",$C232=Test!$B$5)),1,0))</f>
        <v>0</v>
      </c>
      <c r="K232" s="10" t="n">
        <f aca="true">IF($J232=1,RAND(),-1)</f>
        <v>-1</v>
      </c>
      <c r="L232" s="10" t="str">
        <f aca="false">IF($J232=1,RANK($K232,$K$2:$K$1001),"")</f>
        <v/>
      </c>
    </row>
    <row r="233" customFormat="false" ht="15" hidden="false" customHeight="false" outlineLevel="0" collapsed="false">
      <c r="J233" s="10" t="n">
        <f aca="false">IF($D233="",0,IF(AND(OR(Test!$B$4="Hepsi",$B233=Test!$B$4),OR(Test!$B$5="Hepsi",$C233=Test!$B$5)),1,0))</f>
        <v>0</v>
      </c>
      <c r="K233" s="10" t="n">
        <f aca="true">IF($J233=1,RAND(),-1)</f>
        <v>-1</v>
      </c>
      <c r="L233" s="10" t="str">
        <f aca="false">IF($J233=1,RANK($K233,$K$2:$K$1001),"")</f>
        <v/>
      </c>
    </row>
    <row r="234" customFormat="false" ht="15" hidden="false" customHeight="false" outlineLevel="0" collapsed="false">
      <c r="J234" s="10" t="n">
        <f aca="false">IF($D234="",0,IF(AND(OR(Test!$B$4="Hepsi",$B234=Test!$B$4),OR(Test!$B$5="Hepsi",$C234=Test!$B$5)),1,0))</f>
        <v>0</v>
      </c>
      <c r="K234" s="10" t="n">
        <f aca="true">IF($J234=1,RAND(),-1)</f>
        <v>-1</v>
      </c>
      <c r="L234" s="10" t="str">
        <f aca="false">IF($J234=1,RANK($K234,$K$2:$K$1001),"")</f>
        <v/>
      </c>
    </row>
    <row r="235" customFormat="false" ht="15" hidden="false" customHeight="false" outlineLevel="0" collapsed="false">
      <c r="J235" s="10" t="n">
        <f aca="false">IF($D235="",0,IF(AND(OR(Test!$B$4="Hepsi",$B235=Test!$B$4),OR(Test!$B$5="Hepsi",$C235=Test!$B$5)),1,0))</f>
        <v>0</v>
      </c>
      <c r="K235" s="10" t="n">
        <f aca="true">IF($J235=1,RAND(),-1)</f>
        <v>-1</v>
      </c>
      <c r="L235" s="10" t="str">
        <f aca="false">IF($J235=1,RANK($K235,$K$2:$K$1001),"")</f>
        <v/>
      </c>
    </row>
    <row r="236" customFormat="false" ht="15" hidden="false" customHeight="false" outlineLevel="0" collapsed="false">
      <c r="J236" s="10" t="n">
        <f aca="false">IF($D236="",0,IF(AND(OR(Test!$B$4="Hepsi",$B236=Test!$B$4),OR(Test!$B$5="Hepsi",$C236=Test!$B$5)),1,0))</f>
        <v>0</v>
      </c>
      <c r="K236" s="10" t="n">
        <f aca="true">IF($J236=1,RAND(),-1)</f>
        <v>-1</v>
      </c>
      <c r="L236" s="10" t="str">
        <f aca="false">IF($J236=1,RANK($K236,$K$2:$K$1001),"")</f>
        <v/>
      </c>
    </row>
    <row r="237" customFormat="false" ht="15" hidden="false" customHeight="false" outlineLevel="0" collapsed="false">
      <c r="J237" s="10" t="n">
        <f aca="false">IF($D237="",0,IF(AND(OR(Test!$B$4="Hepsi",$B237=Test!$B$4),OR(Test!$B$5="Hepsi",$C237=Test!$B$5)),1,0))</f>
        <v>0</v>
      </c>
      <c r="K237" s="10" t="n">
        <f aca="true">IF($J237=1,RAND(),-1)</f>
        <v>-1</v>
      </c>
      <c r="L237" s="10" t="str">
        <f aca="false">IF($J237=1,RANK($K237,$K$2:$K$1001),"")</f>
        <v/>
      </c>
    </row>
    <row r="238" customFormat="false" ht="15" hidden="false" customHeight="false" outlineLevel="0" collapsed="false">
      <c r="J238" s="10" t="n">
        <f aca="false">IF($D238="",0,IF(AND(OR(Test!$B$4="Hepsi",$B238=Test!$B$4),OR(Test!$B$5="Hepsi",$C238=Test!$B$5)),1,0))</f>
        <v>0</v>
      </c>
      <c r="K238" s="10" t="n">
        <f aca="true">IF($J238=1,RAND(),-1)</f>
        <v>-1</v>
      </c>
      <c r="L238" s="10" t="str">
        <f aca="false">IF($J238=1,RANK($K238,$K$2:$K$1001),"")</f>
        <v/>
      </c>
    </row>
    <row r="239" customFormat="false" ht="15" hidden="false" customHeight="false" outlineLevel="0" collapsed="false">
      <c r="J239" s="10" t="n">
        <f aca="false">IF($D239="",0,IF(AND(OR(Test!$B$4="Hepsi",$B239=Test!$B$4),OR(Test!$B$5="Hepsi",$C239=Test!$B$5)),1,0))</f>
        <v>0</v>
      </c>
      <c r="K239" s="10" t="n">
        <f aca="true">IF($J239=1,RAND(),-1)</f>
        <v>-1</v>
      </c>
      <c r="L239" s="10" t="str">
        <f aca="false">IF($J239=1,RANK($K239,$K$2:$K$1001),"")</f>
        <v/>
      </c>
    </row>
    <row r="240" customFormat="false" ht="15" hidden="false" customHeight="false" outlineLevel="0" collapsed="false">
      <c r="J240" s="10" t="n">
        <f aca="false">IF($D240="",0,IF(AND(OR(Test!$B$4="Hepsi",$B240=Test!$B$4),OR(Test!$B$5="Hepsi",$C240=Test!$B$5)),1,0))</f>
        <v>0</v>
      </c>
      <c r="K240" s="10" t="n">
        <f aca="true">IF($J240=1,RAND(),-1)</f>
        <v>-1</v>
      </c>
      <c r="L240" s="10" t="str">
        <f aca="false">IF($J240=1,RANK($K240,$K$2:$K$1001),"")</f>
        <v/>
      </c>
    </row>
    <row r="241" customFormat="false" ht="15" hidden="false" customHeight="false" outlineLevel="0" collapsed="false">
      <c r="J241" s="10" t="n">
        <f aca="false">IF($D241="",0,IF(AND(OR(Test!$B$4="Hepsi",$B241=Test!$B$4),OR(Test!$B$5="Hepsi",$C241=Test!$B$5)),1,0))</f>
        <v>0</v>
      </c>
      <c r="K241" s="10" t="n">
        <f aca="true">IF($J241=1,RAND(),-1)</f>
        <v>-1</v>
      </c>
      <c r="L241" s="10" t="str">
        <f aca="false">IF($J241=1,RANK($K241,$K$2:$K$1001),"")</f>
        <v/>
      </c>
    </row>
    <row r="242" customFormat="false" ht="15" hidden="false" customHeight="false" outlineLevel="0" collapsed="false">
      <c r="J242" s="10" t="n">
        <f aca="false">IF($D242="",0,IF(AND(OR(Test!$B$4="Hepsi",$B242=Test!$B$4),OR(Test!$B$5="Hepsi",$C242=Test!$B$5)),1,0))</f>
        <v>0</v>
      </c>
      <c r="K242" s="10" t="n">
        <f aca="true">IF($J242=1,RAND(),-1)</f>
        <v>-1</v>
      </c>
      <c r="L242" s="10" t="str">
        <f aca="false">IF($J242=1,RANK($K242,$K$2:$K$1001),"")</f>
        <v/>
      </c>
    </row>
    <row r="243" customFormat="false" ht="15" hidden="false" customHeight="false" outlineLevel="0" collapsed="false">
      <c r="J243" s="10" t="n">
        <f aca="false">IF($D243="",0,IF(AND(OR(Test!$B$4="Hepsi",$B243=Test!$B$4),OR(Test!$B$5="Hepsi",$C243=Test!$B$5)),1,0))</f>
        <v>0</v>
      </c>
      <c r="K243" s="10" t="n">
        <f aca="true">IF($J243=1,RAND(),-1)</f>
        <v>-1</v>
      </c>
      <c r="L243" s="10" t="str">
        <f aca="false">IF($J243=1,RANK($K243,$K$2:$K$1001),"")</f>
        <v/>
      </c>
    </row>
    <row r="244" customFormat="false" ht="15" hidden="false" customHeight="false" outlineLevel="0" collapsed="false">
      <c r="J244" s="10" t="n">
        <f aca="false">IF($D244="",0,IF(AND(OR(Test!$B$4="Hepsi",$B244=Test!$B$4),OR(Test!$B$5="Hepsi",$C244=Test!$B$5)),1,0))</f>
        <v>0</v>
      </c>
      <c r="K244" s="10" t="n">
        <f aca="true">IF($J244=1,RAND(),-1)</f>
        <v>-1</v>
      </c>
      <c r="L244" s="10" t="str">
        <f aca="false">IF($J244=1,RANK($K244,$K$2:$K$1001),"")</f>
        <v/>
      </c>
    </row>
    <row r="245" customFormat="false" ht="15" hidden="false" customHeight="false" outlineLevel="0" collapsed="false">
      <c r="J245" s="10" t="n">
        <f aca="false">IF($D245="",0,IF(AND(OR(Test!$B$4="Hepsi",$B245=Test!$B$4),OR(Test!$B$5="Hepsi",$C245=Test!$B$5)),1,0))</f>
        <v>0</v>
      </c>
      <c r="K245" s="10" t="n">
        <f aca="true">IF($J245=1,RAND(),-1)</f>
        <v>-1</v>
      </c>
      <c r="L245" s="10" t="str">
        <f aca="false">IF($J245=1,RANK($K245,$K$2:$K$1001),"")</f>
        <v/>
      </c>
    </row>
    <row r="246" customFormat="false" ht="15" hidden="false" customHeight="false" outlineLevel="0" collapsed="false">
      <c r="J246" s="10" t="n">
        <f aca="false">IF($D246="",0,IF(AND(OR(Test!$B$4="Hepsi",$B246=Test!$B$4),OR(Test!$B$5="Hepsi",$C246=Test!$B$5)),1,0))</f>
        <v>0</v>
      </c>
      <c r="K246" s="10" t="n">
        <f aca="true">IF($J246=1,RAND(),-1)</f>
        <v>-1</v>
      </c>
      <c r="L246" s="10" t="str">
        <f aca="false">IF($J246=1,RANK($K246,$K$2:$K$1001),"")</f>
        <v/>
      </c>
    </row>
    <row r="247" customFormat="false" ht="15" hidden="false" customHeight="false" outlineLevel="0" collapsed="false">
      <c r="J247" s="10" t="n">
        <f aca="false">IF($D247="",0,IF(AND(OR(Test!$B$4="Hepsi",$B247=Test!$B$4),OR(Test!$B$5="Hepsi",$C247=Test!$B$5)),1,0))</f>
        <v>0</v>
      </c>
      <c r="K247" s="10" t="n">
        <f aca="true">IF($J247=1,RAND(),-1)</f>
        <v>-1</v>
      </c>
      <c r="L247" s="10" t="str">
        <f aca="false">IF($J247=1,RANK($K247,$K$2:$K$1001),"")</f>
        <v/>
      </c>
    </row>
    <row r="248" customFormat="false" ht="15" hidden="false" customHeight="false" outlineLevel="0" collapsed="false">
      <c r="J248" s="10" t="n">
        <f aca="false">IF($D248="",0,IF(AND(OR(Test!$B$4="Hepsi",$B248=Test!$B$4),OR(Test!$B$5="Hepsi",$C248=Test!$B$5)),1,0))</f>
        <v>0</v>
      </c>
      <c r="K248" s="10" t="n">
        <f aca="true">IF($J248=1,RAND(),-1)</f>
        <v>-1</v>
      </c>
      <c r="L248" s="10" t="str">
        <f aca="false">IF($J248=1,RANK($K248,$K$2:$K$1001),"")</f>
        <v/>
      </c>
    </row>
    <row r="249" customFormat="false" ht="15" hidden="false" customHeight="false" outlineLevel="0" collapsed="false">
      <c r="J249" s="10" t="n">
        <f aca="false">IF($D249="",0,IF(AND(OR(Test!$B$4="Hepsi",$B249=Test!$B$4),OR(Test!$B$5="Hepsi",$C249=Test!$B$5)),1,0))</f>
        <v>0</v>
      </c>
      <c r="K249" s="10" t="n">
        <f aca="true">IF($J249=1,RAND(),-1)</f>
        <v>-1</v>
      </c>
      <c r="L249" s="10" t="str">
        <f aca="false">IF($J249=1,RANK($K249,$K$2:$K$1001),"")</f>
        <v/>
      </c>
    </row>
    <row r="250" customFormat="false" ht="15" hidden="false" customHeight="false" outlineLevel="0" collapsed="false">
      <c r="J250" s="10" t="n">
        <f aca="false">IF($D250="",0,IF(AND(OR(Test!$B$4="Hepsi",$B250=Test!$B$4),OR(Test!$B$5="Hepsi",$C250=Test!$B$5)),1,0))</f>
        <v>0</v>
      </c>
      <c r="K250" s="10" t="n">
        <f aca="true">IF($J250=1,RAND(),-1)</f>
        <v>-1</v>
      </c>
      <c r="L250" s="10" t="str">
        <f aca="false">IF($J250=1,RANK($K250,$K$2:$K$1001),"")</f>
        <v/>
      </c>
    </row>
    <row r="251" customFormat="false" ht="15" hidden="false" customHeight="false" outlineLevel="0" collapsed="false">
      <c r="J251" s="10" t="n">
        <f aca="false">IF($D251="",0,IF(AND(OR(Test!$B$4="Hepsi",$B251=Test!$B$4),OR(Test!$B$5="Hepsi",$C251=Test!$B$5)),1,0))</f>
        <v>0</v>
      </c>
      <c r="K251" s="10" t="n">
        <f aca="true">IF($J251=1,RAND(),-1)</f>
        <v>-1</v>
      </c>
      <c r="L251" s="10" t="str">
        <f aca="false">IF($J251=1,RANK($K251,$K$2:$K$1001),"")</f>
        <v/>
      </c>
    </row>
    <row r="252" customFormat="false" ht="15" hidden="false" customHeight="false" outlineLevel="0" collapsed="false">
      <c r="J252" s="10" t="n">
        <f aca="false">IF($D252="",0,IF(AND(OR(Test!$B$4="Hepsi",$B252=Test!$B$4),OR(Test!$B$5="Hepsi",$C252=Test!$B$5)),1,0))</f>
        <v>0</v>
      </c>
      <c r="K252" s="10" t="n">
        <f aca="true">IF($J252=1,RAND(),-1)</f>
        <v>-1</v>
      </c>
      <c r="L252" s="10" t="str">
        <f aca="false">IF($J252=1,RANK($K252,$K$2:$K$1001),"")</f>
        <v/>
      </c>
    </row>
    <row r="253" customFormat="false" ht="15" hidden="false" customHeight="false" outlineLevel="0" collapsed="false">
      <c r="J253" s="10" t="n">
        <f aca="false">IF($D253="",0,IF(AND(OR(Test!$B$4="Hepsi",$B253=Test!$B$4),OR(Test!$B$5="Hepsi",$C253=Test!$B$5)),1,0))</f>
        <v>0</v>
      </c>
      <c r="K253" s="10" t="n">
        <f aca="true">IF($J253=1,RAND(),-1)</f>
        <v>-1</v>
      </c>
      <c r="L253" s="10" t="str">
        <f aca="false">IF($J253=1,RANK($K253,$K$2:$K$1001),"")</f>
        <v/>
      </c>
    </row>
    <row r="254" customFormat="false" ht="15" hidden="false" customHeight="false" outlineLevel="0" collapsed="false">
      <c r="J254" s="10" t="n">
        <f aca="false">IF($D254="",0,IF(AND(OR(Test!$B$4="Hepsi",$B254=Test!$B$4),OR(Test!$B$5="Hepsi",$C254=Test!$B$5)),1,0))</f>
        <v>0</v>
      </c>
      <c r="K254" s="10" t="n">
        <f aca="true">IF($J254=1,RAND(),-1)</f>
        <v>-1</v>
      </c>
      <c r="L254" s="10" t="str">
        <f aca="false">IF($J254=1,RANK($K254,$K$2:$K$1001),"")</f>
        <v/>
      </c>
    </row>
    <row r="255" customFormat="false" ht="15" hidden="false" customHeight="false" outlineLevel="0" collapsed="false">
      <c r="J255" s="10" t="n">
        <f aca="false">IF($D255="",0,IF(AND(OR(Test!$B$4="Hepsi",$B255=Test!$B$4),OR(Test!$B$5="Hepsi",$C255=Test!$B$5)),1,0))</f>
        <v>0</v>
      </c>
      <c r="K255" s="10" t="n">
        <f aca="true">IF($J255=1,RAND(),-1)</f>
        <v>-1</v>
      </c>
      <c r="L255" s="10" t="str">
        <f aca="false">IF($J255=1,RANK($K255,$K$2:$K$1001),"")</f>
        <v/>
      </c>
    </row>
    <row r="256" customFormat="false" ht="15" hidden="false" customHeight="false" outlineLevel="0" collapsed="false">
      <c r="J256" s="10" t="n">
        <f aca="false">IF($D256="",0,IF(AND(OR(Test!$B$4="Hepsi",$B256=Test!$B$4),OR(Test!$B$5="Hepsi",$C256=Test!$B$5)),1,0))</f>
        <v>0</v>
      </c>
      <c r="K256" s="10" t="n">
        <f aca="true">IF($J256=1,RAND(),-1)</f>
        <v>-1</v>
      </c>
      <c r="L256" s="10" t="str">
        <f aca="false">IF($J256=1,RANK($K256,$K$2:$K$1001),"")</f>
        <v/>
      </c>
    </row>
    <row r="257" customFormat="false" ht="15" hidden="false" customHeight="false" outlineLevel="0" collapsed="false">
      <c r="J257" s="10" t="n">
        <f aca="false">IF($D257="",0,IF(AND(OR(Test!$B$4="Hepsi",$B257=Test!$B$4),OR(Test!$B$5="Hepsi",$C257=Test!$B$5)),1,0))</f>
        <v>0</v>
      </c>
      <c r="K257" s="10" t="n">
        <f aca="true">IF($J257=1,RAND(),-1)</f>
        <v>-1</v>
      </c>
      <c r="L257" s="10" t="str">
        <f aca="false">IF($J257=1,RANK($K257,$K$2:$K$1001),"")</f>
        <v/>
      </c>
    </row>
    <row r="258" customFormat="false" ht="15" hidden="false" customHeight="false" outlineLevel="0" collapsed="false">
      <c r="J258" s="10" t="n">
        <f aca="false">IF($D258="",0,IF(AND(OR(Test!$B$4="Hepsi",$B258=Test!$B$4),OR(Test!$B$5="Hepsi",$C258=Test!$B$5)),1,0))</f>
        <v>0</v>
      </c>
      <c r="K258" s="10" t="n">
        <f aca="true">IF($J258=1,RAND(),-1)</f>
        <v>-1</v>
      </c>
      <c r="L258" s="10" t="str">
        <f aca="false">IF($J258=1,RANK($K258,$K$2:$K$1001),"")</f>
        <v/>
      </c>
    </row>
    <row r="259" customFormat="false" ht="15" hidden="false" customHeight="false" outlineLevel="0" collapsed="false">
      <c r="J259" s="10" t="n">
        <f aca="false">IF($D259="",0,IF(AND(OR(Test!$B$4="Hepsi",$B259=Test!$B$4),OR(Test!$B$5="Hepsi",$C259=Test!$B$5)),1,0))</f>
        <v>0</v>
      </c>
      <c r="K259" s="10" t="n">
        <f aca="true">IF($J259=1,RAND(),-1)</f>
        <v>-1</v>
      </c>
      <c r="L259" s="10" t="str">
        <f aca="false">IF($J259=1,RANK($K259,$K$2:$K$1001),"")</f>
        <v/>
      </c>
    </row>
    <row r="260" customFormat="false" ht="15" hidden="false" customHeight="false" outlineLevel="0" collapsed="false">
      <c r="J260" s="10" t="n">
        <f aca="false">IF($D260="",0,IF(AND(OR(Test!$B$4="Hepsi",$B260=Test!$B$4),OR(Test!$B$5="Hepsi",$C260=Test!$B$5)),1,0))</f>
        <v>0</v>
      </c>
      <c r="K260" s="10" t="n">
        <f aca="true">IF($J260=1,RAND(),-1)</f>
        <v>-1</v>
      </c>
      <c r="L260" s="10" t="str">
        <f aca="false">IF($J260=1,RANK($K260,$K$2:$K$1001),"")</f>
        <v/>
      </c>
    </row>
    <row r="261" customFormat="false" ht="15" hidden="false" customHeight="false" outlineLevel="0" collapsed="false">
      <c r="J261" s="10" t="n">
        <f aca="false">IF($D261="",0,IF(AND(OR(Test!$B$4="Hepsi",$B261=Test!$B$4),OR(Test!$B$5="Hepsi",$C261=Test!$B$5)),1,0))</f>
        <v>0</v>
      </c>
      <c r="K261" s="10" t="n">
        <f aca="true">IF($J261=1,RAND(),-1)</f>
        <v>-1</v>
      </c>
      <c r="L261" s="10" t="str">
        <f aca="false">IF($J261=1,RANK($K261,$K$2:$K$1001),"")</f>
        <v/>
      </c>
    </row>
    <row r="262" customFormat="false" ht="15" hidden="false" customHeight="false" outlineLevel="0" collapsed="false">
      <c r="J262" s="10" t="n">
        <f aca="false">IF($D262="",0,IF(AND(OR(Test!$B$4="Hepsi",$B262=Test!$B$4),OR(Test!$B$5="Hepsi",$C262=Test!$B$5)),1,0))</f>
        <v>0</v>
      </c>
      <c r="K262" s="10" t="n">
        <f aca="true">IF($J262=1,RAND(),-1)</f>
        <v>-1</v>
      </c>
      <c r="L262" s="10" t="str">
        <f aca="false">IF($J262=1,RANK($K262,$K$2:$K$1001),"")</f>
        <v/>
      </c>
    </row>
    <row r="263" customFormat="false" ht="15" hidden="false" customHeight="false" outlineLevel="0" collapsed="false">
      <c r="J263" s="10" t="n">
        <f aca="false">IF($D263="",0,IF(AND(OR(Test!$B$4="Hepsi",$B263=Test!$B$4),OR(Test!$B$5="Hepsi",$C263=Test!$B$5)),1,0))</f>
        <v>0</v>
      </c>
      <c r="K263" s="10" t="n">
        <f aca="true">IF($J263=1,RAND(),-1)</f>
        <v>-1</v>
      </c>
      <c r="L263" s="10" t="str">
        <f aca="false">IF($J263=1,RANK($K263,$K$2:$K$1001),"")</f>
        <v/>
      </c>
    </row>
    <row r="264" customFormat="false" ht="15" hidden="false" customHeight="false" outlineLevel="0" collapsed="false">
      <c r="J264" s="10" t="n">
        <f aca="false">IF($D264="",0,IF(AND(OR(Test!$B$4="Hepsi",$B264=Test!$B$4),OR(Test!$B$5="Hepsi",$C264=Test!$B$5)),1,0))</f>
        <v>0</v>
      </c>
      <c r="K264" s="10" t="n">
        <f aca="true">IF($J264=1,RAND(),-1)</f>
        <v>-1</v>
      </c>
      <c r="L264" s="10" t="str">
        <f aca="false">IF($J264=1,RANK($K264,$K$2:$K$1001),"")</f>
        <v/>
      </c>
    </row>
    <row r="265" customFormat="false" ht="15" hidden="false" customHeight="false" outlineLevel="0" collapsed="false">
      <c r="J265" s="10" t="n">
        <f aca="false">IF($D265="",0,IF(AND(OR(Test!$B$4="Hepsi",$B265=Test!$B$4),OR(Test!$B$5="Hepsi",$C265=Test!$B$5)),1,0))</f>
        <v>0</v>
      </c>
      <c r="K265" s="10" t="n">
        <f aca="true">IF($J265=1,RAND(),-1)</f>
        <v>-1</v>
      </c>
      <c r="L265" s="10" t="str">
        <f aca="false">IF($J265=1,RANK($K265,$K$2:$K$1001),"")</f>
        <v/>
      </c>
    </row>
    <row r="266" customFormat="false" ht="15" hidden="false" customHeight="false" outlineLevel="0" collapsed="false">
      <c r="J266" s="10" t="n">
        <f aca="false">IF($D266="",0,IF(AND(OR(Test!$B$4="Hepsi",$B266=Test!$B$4),OR(Test!$B$5="Hepsi",$C266=Test!$B$5)),1,0))</f>
        <v>0</v>
      </c>
      <c r="K266" s="10" t="n">
        <f aca="true">IF($J266=1,RAND(),-1)</f>
        <v>-1</v>
      </c>
      <c r="L266" s="10" t="str">
        <f aca="false">IF($J266=1,RANK($K266,$K$2:$K$1001),"")</f>
        <v/>
      </c>
    </row>
    <row r="267" customFormat="false" ht="15" hidden="false" customHeight="false" outlineLevel="0" collapsed="false">
      <c r="J267" s="10" t="n">
        <f aca="false">IF($D267="",0,IF(AND(OR(Test!$B$4="Hepsi",$B267=Test!$B$4),OR(Test!$B$5="Hepsi",$C267=Test!$B$5)),1,0))</f>
        <v>0</v>
      </c>
      <c r="K267" s="10" t="n">
        <f aca="true">IF($J267=1,RAND(),-1)</f>
        <v>-1</v>
      </c>
      <c r="L267" s="10" t="str">
        <f aca="false">IF($J267=1,RANK($K267,$K$2:$K$1001),"")</f>
        <v/>
      </c>
    </row>
    <row r="268" customFormat="false" ht="15" hidden="false" customHeight="false" outlineLevel="0" collapsed="false">
      <c r="J268" s="10" t="n">
        <f aca="false">IF($D268="",0,IF(AND(OR(Test!$B$4="Hepsi",$B268=Test!$B$4),OR(Test!$B$5="Hepsi",$C268=Test!$B$5)),1,0))</f>
        <v>0</v>
      </c>
      <c r="K268" s="10" t="n">
        <f aca="true">IF($J268=1,RAND(),-1)</f>
        <v>-1</v>
      </c>
      <c r="L268" s="10" t="str">
        <f aca="false">IF($J268=1,RANK($K268,$K$2:$K$1001),"")</f>
        <v/>
      </c>
    </row>
    <row r="269" customFormat="false" ht="15" hidden="false" customHeight="false" outlineLevel="0" collapsed="false">
      <c r="J269" s="10" t="n">
        <f aca="false">IF($D269="",0,IF(AND(OR(Test!$B$4="Hepsi",$B269=Test!$B$4),OR(Test!$B$5="Hepsi",$C269=Test!$B$5)),1,0))</f>
        <v>0</v>
      </c>
      <c r="K269" s="10" t="n">
        <f aca="true">IF($J269=1,RAND(),-1)</f>
        <v>-1</v>
      </c>
      <c r="L269" s="10" t="str">
        <f aca="false">IF($J269=1,RANK($K269,$K$2:$K$1001),"")</f>
        <v/>
      </c>
    </row>
    <row r="270" customFormat="false" ht="15" hidden="false" customHeight="false" outlineLevel="0" collapsed="false">
      <c r="J270" s="10" t="n">
        <f aca="false">IF($D270="",0,IF(AND(OR(Test!$B$4="Hepsi",$B270=Test!$B$4),OR(Test!$B$5="Hepsi",$C270=Test!$B$5)),1,0))</f>
        <v>0</v>
      </c>
      <c r="K270" s="10" t="n">
        <f aca="true">IF($J270=1,RAND(),-1)</f>
        <v>-1</v>
      </c>
      <c r="L270" s="10" t="str">
        <f aca="false">IF($J270=1,RANK($K270,$K$2:$K$1001),"")</f>
        <v/>
      </c>
    </row>
    <row r="271" customFormat="false" ht="15" hidden="false" customHeight="false" outlineLevel="0" collapsed="false">
      <c r="J271" s="10" t="n">
        <f aca="false">IF($D271="",0,IF(AND(OR(Test!$B$4="Hepsi",$B271=Test!$B$4),OR(Test!$B$5="Hepsi",$C271=Test!$B$5)),1,0))</f>
        <v>0</v>
      </c>
      <c r="K271" s="10" t="n">
        <f aca="true">IF($J271=1,RAND(),-1)</f>
        <v>-1</v>
      </c>
      <c r="L271" s="10" t="str">
        <f aca="false">IF($J271=1,RANK($K271,$K$2:$K$1001),"")</f>
        <v/>
      </c>
    </row>
    <row r="272" customFormat="false" ht="15" hidden="false" customHeight="false" outlineLevel="0" collapsed="false">
      <c r="J272" s="10" t="n">
        <f aca="false">IF($D272="",0,IF(AND(OR(Test!$B$4="Hepsi",$B272=Test!$B$4),OR(Test!$B$5="Hepsi",$C272=Test!$B$5)),1,0))</f>
        <v>0</v>
      </c>
      <c r="K272" s="10" t="n">
        <f aca="true">IF($J272=1,RAND(),-1)</f>
        <v>-1</v>
      </c>
      <c r="L272" s="10" t="str">
        <f aca="false">IF($J272=1,RANK($K272,$K$2:$K$1001),"")</f>
        <v/>
      </c>
    </row>
    <row r="273" customFormat="false" ht="15" hidden="false" customHeight="false" outlineLevel="0" collapsed="false">
      <c r="J273" s="10" t="n">
        <f aca="false">IF($D273="",0,IF(AND(OR(Test!$B$4="Hepsi",$B273=Test!$B$4),OR(Test!$B$5="Hepsi",$C273=Test!$B$5)),1,0))</f>
        <v>0</v>
      </c>
      <c r="K273" s="10" t="n">
        <f aca="true">IF($J273=1,RAND(),-1)</f>
        <v>-1</v>
      </c>
      <c r="L273" s="10" t="str">
        <f aca="false">IF($J273=1,RANK($K273,$K$2:$K$1001),"")</f>
        <v/>
      </c>
    </row>
    <row r="274" customFormat="false" ht="15" hidden="false" customHeight="false" outlineLevel="0" collapsed="false">
      <c r="J274" s="10" t="n">
        <f aca="false">IF($D274="",0,IF(AND(OR(Test!$B$4="Hepsi",$B274=Test!$B$4),OR(Test!$B$5="Hepsi",$C274=Test!$B$5)),1,0))</f>
        <v>0</v>
      </c>
      <c r="K274" s="10" t="n">
        <f aca="true">IF($J274=1,RAND(),-1)</f>
        <v>-1</v>
      </c>
      <c r="L274" s="10" t="str">
        <f aca="false">IF($J274=1,RANK($K274,$K$2:$K$1001),"")</f>
        <v/>
      </c>
    </row>
    <row r="275" customFormat="false" ht="15" hidden="false" customHeight="false" outlineLevel="0" collapsed="false">
      <c r="J275" s="10" t="n">
        <f aca="false">IF($D275="",0,IF(AND(OR(Test!$B$4="Hepsi",$B275=Test!$B$4),OR(Test!$B$5="Hepsi",$C275=Test!$B$5)),1,0))</f>
        <v>0</v>
      </c>
      <c r="K275" s="10" t="n">
        <f aca="true">IF($J275=1,RAND(),-1)</f>
        <v>-1</v>
      </c>
      <c r="L275" s="10" t="str">
        <f aca="false">IF($J275=1,RANK($K275,$K$2:$K$1001),"")</f>
        <v/>
      </c>
    </row>
    <row r="276" customFormat="false" ht="15" hidden="false" customHeight="false" outlineLevel="0" collapsed="false">
      <c r="J276" s="10" t="n">
        <f aca="false">IF($D276="",0,IF(AND(OR(Test!$B$4="Hepsi",$B276=Test!$B$4),OR(Test!$B$5="Hepsi",$C276=Test!$B$5)),1,0))</f>
        <v>0</v>
      </c>
      <c r="K276" s="10" t="n">
        <f aca="true">IF($J276=1,RAND(),-1)</f>
        <v>-1</v>
      </c>
      <c r="L276" s="10" t="str">
        <f aca="false">IF($J276=1,RANK($K276,$K$2:$K$1001),"")</f>
        <v/>
      </c>
    </row>
    <row r="277" customFormat="false" ht="15" hidden="false" customHeight="false" outlineLevel="0" collapsed="false">
      <c r="J277" s="10" t="n">
        <f aca="false">IF($D277="",0,IF(AND(OR(Test!$B$4="Hepsi",$B277=Test!$B$4),OR(Test!$B$5="Hepsi",$C277=Test!$B$5)),1,0))</f>
        <v>0</v>
      </c>
      <c r="K277" s="10" t="n">
        <f aca="true">IF($J277=1,RAND(),-1)</f>
        <v>-1</v>
      </c>
      <c r="L277" s="10" t="str">
        <f aca="false">IF($J277=1,RANK($K277,$K$2:$K$1001),"")</f>
        <v/>
      </c>
    </row>
    <row r="278" customFormat="false" ht="15" hidden="false" customHeight="false" outlineLevel="0" collapsed="false">
      <c r="J278" s="10" t="n">
        <f aca="false">IF($D278="",0,IF(AND(OR(Test!$B$4="Hepsi",$B278=Test!$B$4),OR(Test!$B$5="Hepsi",$C278=Test!$B$5)),1,0))</f>
        <v>0</v>
      </c>
      <c r="K278" s="10" t="n">
        <f aca="true">IF($J278=1,RAND(),-1)</f>
        <v>-1</v>
      </c>
      <c r="L278" s="10" t="str">
        <f aca="false">IF($J278=1,RANK($K278,$K$2:$K$1001),"")</f>
        <v/>
      </c>
    </row>
    <row r="279" customFormat="false" ht="15" hidden="false" customHeight="false" outlineLevel="0" collapsed="false">
      <c r="J279" s="10" t="n">
        <f aca="false">IF($D279="",0,IF(AND(OR(Test!$B$4="Hepsi",$B279=Test!$B$4),OR(Test!$B$5="Hepsi",$C279=Test!$B$5)),1,0))</f>
        <v>0</v>
      </c>
      <c r="K279" s="10" t="n">
        <f aca="true">IF($J279=1,RAND(),-1)</f>
        <v>-1</v>
      </c>
      <c r="L279" s="10" t="str">
        <f aca="false">IF($J279=1,RANK($K279,$K$2:$K$1001),"")</f>
        <v/>
      </c>
    </row>
    <row r="280" customFormat="false" ht="15" hidden="false" customHeight="false" outlineLevel="0" collapsed="false">
      <c r="J280" s="10" t="n">
        <f aca="false">IF($D280="",0,IF(AND(OR(Test!$B$4="Hepsi",$B280=Test!$B$4),OR(Test!$B$5="Hepsi",$C280=Test!$B$5)),1,0))</f>
        <v>0</v>
      </c>
      <c r="K280" s="10" t="n">
        <f aca="true">IF($J280=1,RAND(),-1)</f>
        <v>-1</v>
      </c>
      <c r="L280" s="10" t="str">
        <f aca="false">IF($J280=1,RANK($K280,$K$2:$K$1001),"")</f>
        <v/>
      </c>
    </row>
    <row r="281" customFormat="false" ht="15" hidden="false" customHeight="false" outlineLevel="0" collapsed="false">
      <c r="J281" s="10" t="n">
        <f aca="false">IF($D281="",0,IF(AND(OR(Test!$B$4="Hepsi",$B281=Test!$B$4),OR(Test!$B$5="Hepsi",$C281=Test!$B$5)),1,0))</f>
        <v>0</v>
      </c>
      <c r="K281" s="10" t="n">
        <f aca="true">IF($J281=1,RAND(),-1)</f>
        <v>-1</v>
      </c>
      <c r="L281" s="10" t="str">
        <f aca="false">IF($J281=1,RANK($K281,$K$2:$K$1001),"")</f>
        <v/>
      </c>
    </row>
    <row r="282" customFormat="false" ht="15" hidden="false" customHeight="false" outlineLevel="0" collapsed="false">
      <c r="J282" s="10" t="n">
        <f aca="false">IF($D282="",0,IF(AND(OR(Test!$B$4="Hepsi",$B282=Test!$B$4),OR(Test!$B$5="Hepsi",$C282=Test!$B$5)),1,0))</f>
        <v>0</v>
      </c>
      <c r="K282" s="10" t="n">
        <f aca="true">IF($J282=1,RAND(),-1)</f>
        <v>-1</v>
      </c>
      <c r="L282" s="10" t="str">
        <f aca="false">IF($J282=1,RANK($K282,$K$2:$K$1001),"")</f>
        <v/>
      </c>
    </row>
    <row r="283" customFormat="false" ht="15" hidden="false" customHeight="false" outlineLevel="0" collapsed="false">
      <c r="J283" s="10" t="n">
        <f aca="false">IF($D283="",0,IF(AND(OR(Test!$B$4="Hepsi",$B283=Test!$B$4),OR(Test!$B$5="Hepsi",$C283=Test!$B$5)),1,0))</f>
        <v>0</v>
      </c>
      <c r="K283" s="10" t="n">
        <f aca="true">IF($J283=1,RAND(),-1)</f>
        <v>-1</v>
      </c>
      <c r="L283" s="10" t="str">
        <f aca="false">IF($J283=1,RANK($K283,$K$2:$K$1001),"")</f>
        <v/>
      </c>
    </row>
    <row r="284" customFormat="false" ht="15" hidden="false" customHeight="false" outlineLevel="0" collapsed="false">
      <c r="J284" s="10" t="n">
        <f aca="false">IF($D284="",0,IF(AND(OR(Test!$B$4="Hepsi",$B284=Test!$B$4),OR(Test!$B$5="Hepsi",$C284=Test!$B$5)),1,0))</f>
        <v>0</v>
      </c>
      <c r="K284" s="10" t="n">
        <f aca="true">IF($J284=1,RAND(),-1)</f>
        <v>-1</v>
      </c>
      <c r="L284" s="10" t="str">
        <f aca="false">IF($J284=1,RANK($K284,$K$2:$K$1001),"")</f>
        <v/>
      </c>
    </row>
    <row r="285" customFormat="false" ht="15" hidden="false" customHeight="false" outlineLevel="0" collapsed="false">
      <c r="J285" s="10" t="n">
        <f aca="false">IF($D285="",0,IF(AND(OR(Test!$B$4="Hepsi",$B285=Test!$B$4),OR(Test!$B$5="Hepsi",$C285=Test!$B$5)),1,0))</f>
        <v>0</v>
      </c>
      <c r="K285" s="10" t="n">
        <f aca="true">IF($J285=1,RAND(),-1)</f>
        <v>-1</v>
      </c>
      <c r="L285" s="10" t="str">
        <f aca="false">IF($J285=1,RANK($K285,$K$2:$K$1001),"")</f>
        <v/>
      </c>
    </row>
    <row r="286" customFormat="false" ht="15" hidden="false" customHeight="false" outlineLevel="0" collapsed="false">
      <c r="J286" s="10" t="n">
        <f aca="false">IF($D286="",0,IF(AND(OR(Test!$B$4="Hepsi",$B286=Test!$B$4),OR(Test!$B$5="Hepsi",$C286=Test!$B$5)),1,0))</f>
        <v>0</v>
      </c>
      <c r="K286" s="10" t="n">
        <f aca="true">IF($J286=1,RAND(),-1)</f>
        <v>-1</v>
      </c>
      <c r="L286" s="10" t="str">
        <f aca="false">IF($J286=1,RANK($K286,$K$2:$K$1001),"")</f>
        <v/>
      </c>
    </row>
    <row r="287" customFormat="false" ht="15" hidden="false" customHeight="false" outlineLevel="0" collapsed="false">
      <c r="J287" s="10" t="n">
        <f aca="false">IF($D287="",0,IF(AND(OR(Test!$B$4="Hepsi",$B287=Test!$B$4),OR(Test!$B$5="Hepsi",$C287=Test!$B$5)),1,0))</f>
        <v>0</v>
      </c>
      <c r="K287" s="10" t="n">
        <f aca="true">IF($J287=1,RAND(),-1)</f>
        <v>-1</v>
      </c>
      <c r="L287" s="10" t="str">
        <f aca="false">IF($J287=1,RANK($K287,$K$2:$K$1001),"")</f>
        <v/>
      </c>
    </row>
    <row r="288" customFormat="false" ht="15" hidden="false" customHeight="false" outlineLevel="0" collapsed="false">
      <c r="J288" s="10" t="n">
        <f aca="false">IF($D288="",0,IF(AND(OR(Test!$B$4="Hepsi",$B288=Test!$B$4),OR(Test!$B$5="Hepsi",$C288=Test!$B$5)),1,0))</f>
        <v>0</v>
      </c>
      <c r="K288" s="10" t="n">
        <f aca="true">IF($J288=1,RAND(),-1)</f>
        <v>-1</v>
      </c>
      <c r="L288" s="10" t="str">
        <f aca="false">IF($J288=1,RANK($K288,$K$2:$K$1001),"")</f>
        <v/>
      </c>
    </row>
    <row r="289" customFormat="false" ht="15" hidden="false" customHeight="false" outlineLevel="0" collapsed="false">
      <c r="J289" s="10" t="n">
        <f aca="false">IF($D289="",0,IF(AND(OR(Test!$B$4="Hepsi",$B289=Test!$B$4),OR(Test!$B$5="Hepsi",$C289=Test!$B$5)),1,0))</f>
        <v>0</v>
      </c>
      <c r="K289" s="10" t="n">
        <f aca="true">IF($J289=1,RAND(),-1)</f>
        <v>-1</v>
      </c>
      <c r="L289" s="10" t="str">
        <f aca="false">IF($J289=1,RANK($K289,$K$2:$K$1001),"")</f>
        <v/>
      </c>
    </row>
    <row r="290" customFormat="false" ht="15" hidden="false" customHeight="false" outlineLevel="0" collapsed="false">
      <c r="J290" s="10" t="n">
        <f aca="false">IF($D290="",0,IF(AND(OR(Test!$B$4="Hepsi",$B290=Test!$B$4),OR(Test!$B$5="Hepsi",$C290=Test!$B$5)),1,0))</f>
        <v>0</v>
      </c>
      <c r="K290" s="10" t="n">
        <f aca="true">IF($J290=1,RAND(),-1)</f>
        <v>-1</v>
      </c>
      <c r="L290" s="10" t="str">
        <f aca="false">IF($J290=1,RANK($K290,$K$2:$K$1001),"")</f>
        <v/>
      </c>
    </row>
    <row r="291" customFormat="false" ht="15" hidden="false" customHeight="false" outlineLevel="0" collapsed="false">
      <c r="J291" s="10" t="n">
        <f aca="false">IF($D291="",0,IF(AND(OR(Test!$B$4="Hepsi",$B291=Test!$B$4),OR(Test!$B$5="Hepsi",$C291=Test!$B$5)),1,0))</f>
        <v>0</v>
      </c>
      <c r="K291" s="10" t="n">
        <f aca="true">IF($J291=1,RAND(),-1)</f>
        <v>-1</v>
      </c>
      <c r="L291" s="10" t="str">
        <f aca="false">IF($J291=1,RANK($K291,$K$2:$K$1001),"")</f>
        <v/>
      </c>
    </row>
    <row r="292" customFormat="false" ht="15" hidden="false" customHeight="false" outlineLevel="0" collapsed="false">
      <c r="J292" s="10" t="n">
        <f aca="false">IF($D292="",0,IF(AND(OR(Test!$B$4="Hepsi",$B292=Test!$B$4),OR(Test!$B$5="Hepsi",$C292=Test!$B$5)),1,0))</f>
        <v>0</v>
      </c>
      <c r="K292" s="10" t="n">
        <f aca="true">IF($J292=1,RAND(),-1)</f>
        <v>-1</v>
      </c>
      <c r="L292" s="10" t="str">
        <f aca="false">IF($J292=1,RANK($K292,$K$2:$K$1001),"")</f>
        <v/>
      </c>
    </row>
    <row r="293" customFormat="false" ht="15" hidden="false" customHeight="false" outlineLevel="0" collapsed="false">
      <c r="J293" s="10" t="n">
        <f aca="false">IF($D293="",0,IF(AND(OR(Test!$B$4="Hepsi",$B293=Test!$B$4),OR(Test!$B$5="Hepsi",$C293=Test!$B$5)),1,0))</f>
        <v>0</v>
      </c>
      <c r="K293" s="10" t="n">
        <f aca="true">IF($J293=1,RAND(),-1)</f>
        <v>-1</v>
      </c>
      <c r="L293" s="10" t="str">
        <f aca="false">IF($J293=1,RANK($K293,$K$2:$K$1001),"")</f>
        <v/>
      </c>
    </row>
    <row r="294" customFormat="false" ht="15" hidden="false" customHeight="false" outlineLevel="0" collapsed="false">
      <c r="J294" s="10" t="n">
        <f aca="false">IF($D294="",0,IF(AND(OR(Test!$B$4="Hepsi",$B294=Test!$B$4),OR(Test!$B$5="Hepsi",$C294=Test!$B$5)),1,0))</f>
        <v>0</v>
      </c>
      <c r="K294" s="10" t="n">
        <f aca="true">IF($J294=1,RAND(),-1)</f>
        <v>-1</v>
      </c>
      <c r="L294" s="10" t="str">
        <f aca="false">IF($J294=1,RANK($K294,$K$2:$K$1001),"")</f>
        <v/>
      </c>
    </row>
    <row r="295" customFormat="false" ht="15" hidden="false" customHeight="false" outlineLevel="0" collapsed="false">
      <c r="J295" s="10" t="n">
        <f aca="false">IF($D295="",0,IF(AND(OR(Test!$B$4="Hepsi",$B295=Test!$B$4),OR(Test!$B$5="Hepsi",$C295=Test!$B$5)),1,0))</f>
        <v>0</v>
      </c>
      <c r="K295" s="10" t="n">
        <f aca="true">IF($J295=1,RAND(),-1)</f>
        <v>-1</v>
      </c>
      <c r="L295" s="10" t="str">
        <f aca="false">IF($J295=1,RANK($K295,$K$2:$K$1001),"")</f>
        <v/>
      </c>
    </row>
    <row r="296" customFormat="false" ht="15" hidden="false" customHeight="false" outlineLevel="0" collapsed="false">
      <c r="J296" s="10" t="n">
        <f aca="false">IF($D296="",0,IF(AND(OR(Test!$B$4="Hepsi",$B296=Test!$B$4),OR(Test!$B$5="Hepsi",$C296=Test!$B$5)),1,0))</f>
        <v>0</v>
      </c>
      <c r="K296" s="10" t="n">
        <f aca="true">IF($J296=1,RAND(),-1)</f>
        <v>-1</v>
      </c>
      <c r="L296" s="10" t="str">
        <f aca="false">IF($J296=1,RANK($K296,$K$2:$K$1001),"")</f>
        <v/>
      </c>
    </row>
    <row r="297" customFormat="false" ht="15" hidden="false" customHeight="false" outlineLevel="0" collapsed="false">
      <c r="J297" s="10" t="n">
        <f aca="false">IF($D297="",0,IF(AND(OR(Test!$B$4="Hepsi",$B297=Test!$B$4),OR(Test!$B$5="Hepsi",$C297=Test!$B$5)),1,0))</f>
        <v>0</v>
      </c>
      <c r="K297" s="10" t="n">
        <f aca="true">IF($J297=1,RAND(),-1)</f>
        <v>-1</v>
      </c>
      <c r="L297" s="10" t="str">
        <f aca="false">IF($J297=1,RANK($K297,$K$2:$K$1001),"")</f>
        <v/>
      </c>
    </row>
    <row r="298" customFormat="false" ht="15" hidden="false" customHeight="false" outlineLevel="0" collapsed="false">
      <c r="J298" s="10" t="n">
        <f aca="false">IF($D298="",0,IF(AND(OR(Test!$B$4="Hepsi",$B298=Test!$B$4),OR(Test!$B$5="Hepsi",$C298=Test!$B$5)),1,0))</f>
        <v>0</v>
      </c>
      <c r="K298" s="10" t="n">
        <f aca="true">IF($J298=1,RAND(),-1)</f>
        <v>-1</v>
      </c>
      <c r="L298" s="10" t="str">
        <f aca="false">IF($J298=1,RANK($K298,$K$2:$K$1001),"")</f>
        <v/>
      </c>
    </row>
    <row r="299" customFormat="false" ht="15" hidden="false" customHeight="false" outlineLevel="0" collapsed="false">
      <c r="J299" s="10" t="n">
        <f aca="false">IF($D299="",0,IF(AND(OR(Test!$B$4="Hepsi",$B299=Test!$B$4),OR(Test!$B$5="Hepsi",$C299=Test!$B$5)),1,0))</f>
        <v>0</v>
      </c>
      <c r="K299" s="10" t="n">
        <f aca="true">IF($J299=1,RAND(),-1)</f>
        <v>-1</v>
      </c>
      <c r="L299" s="10" t="str">
        <f aca="false">IF($J299=1,RANK($K299,$K$2:$K$1001),"")</f>
        <v/>
      </c>
    </row>
    <row r="300" customFormat="false" ht="15" hidden="false" customHeight="false" outlineLevel="0" collapsed="false">
      <c r="J300" s="10" t="n">
        <f aca="false">IF($D300="",0,IF(AND(OR(Test!$B$4="Hepsi",$B300=Test!$B$4),OR(Test!$B$5="Hepsi",$C300=Test!$B$5)),1,0))</f>
        <v>0</v>
      </c>
      <c r="K300" s="10" t="n">
        <f aca="true">IF($J300=1,RAND(),-1)</f>
        <v>-1</v>
      </c>
      <c r="L300" s="10" t="str">
        <f aca="false">IF($J300=1,RANK($K300,$K$2:$K$1001),"")</f>
        <v/>
      </c>
    </row>
    <row r="301" customFormat="false" ht="15" hidden="false" customHeight="false" outlineLevel="0" collapsed="false">
      <c r="J301" s="10" t="n">
        <f aca="false">IF($D301="",0,IF(AND(OR(Test!$B$4="Hepsi",$B301=Test!$B$4),OR(Test!$B$5="Hepsi",$C301=Test!$B$5)),1,0))</f>
        <v>0</v>
      </c>
      <c r="K301" s="10" t="n">
        <f aca="true">IF($J301=1,RAND(),-1)</f>
        <v>-1</v>
      </c>
      <c r="L301" s="10" t="str">
        <f aca="false">IF($J301=1,RANK($K301,$K$2:$K$1001),"")</f>
        <v/>
      </c>
    </row>
    <row r="302" customFormat="false" ht="15" hidden="false" customHeight="false" outlineLevel="0" collapsed="false">
      <c r="J302" s="10" t="n">
        <f aca="false">IF($D302="",0,IF(AND(OR(Test!$B$4="Hepsi",$B302=Test!$B$4),OR(Test!$B$5="Hepsi",$C302=Test!$B$5)),1,0))</f>
        <v>0</v>
      </c>
      <c r="K302" s="10" t="n">
        <f aca="true">IF($J302=1,RAND(),-1)</f>
        <v>-1</v>
      </c>
      <c r="L302" s="10" t="str">
        <f aca="false">IF($J302=1,RANK($K302,$K$2:$K$1001),"")</f>
        <v/>
      </c>
    </row>
    <row r="303" customFormat="false" ht="15" hidden="false" customHeight="false" outlineLevel="0" collapsed="false">
      <c r="J303" s="10" t="n">
        <f aca="false">IF($D303="",0,IF(AND(OR(Test!$B$4="Hepsi",$B303=Test!$B$4),OR(Test!$B$5="Hepsi",$C303=Test!$B$5)),1,0))</f>
        <v>0</v>
      </c>
      <c r="K303" s="10" t="n">
        <f aca="true">IF($J303=1,RAND(),-1)</f>
        <v>-1</v>
      </c>
      <c r="L303" s="10" t="str">
        <f aca="false">IF($J303=1,RANK($K303,$K$2:$K$1001),"")</f>
        <v/>
      </c>
    </row>
    <row r="304" customFormat="false" ht="15" hidden="false" customHeight="false" outlineLevel="0" collapsed="false">
      <c r="J304" s="10" t="n">
        <f aca="false">IF($D304="",0,IF(AND(OR(Test!$B$4="Hepsi",$B304=Test!$B$4),OR(Test!$B$5="Hepsi",$C304=Test!$B$5)),1,0))</f>
        <v>0</v>
      </c>
      <c r="K304" s="10" t="n">
        <f aca="true">IF($J304=1,RAND(),-1)</f>
        <v>-1</v>
      </c>
      <c r="L304" s="10" t="str">
        <f aca="false">IF($J304=1,RANK($K304,$K$2:$K$1001),"")</f>
        <v/>
      </c>
    </row>
    <row r="305" customFormat="false" ht="15" hidden="false" customHeight="false" outlineLevel="0" collapsed="false">
      <c r="J305" s="10" t="n">
        <f aca="false">IF($D305="",0,IF(AND(OR(Test!$B$4="Hepsi",$B305=Test!$B$4),OR(Test!$B$5="Hepsi",$C305=Test!$B$5)),1,0))</f>
        <v>0</v>
      </c>
      <c r="K305" s="10" t="n">
        <f aca="true">IF($J305=1,RAND(),-1)</f>
        <v>-1</v>
      </c>
      <c r="L305" s="10" t="str">
        <f aca="false">IF($J305=1,RANK($K305,$K$2:$K$1001),"")</f>
        <v/>
      </c>
    </row>
    <row r="306" customFormat="false" ht="15" hidden="false" customHeight="false" outlineLevel="0" collapsed="false">
      <c r="J306" s="10" t="n">
        <f aca="false">IF($D306="",0,IF(AND(OR(Test!$B$4="Hepsi",$B306=Test!$B$4),OR(Test!$B$5="Hepsi",$C306=Test!$B$5)),1,0))</f>
        <v>0</v>
      </c>
      <c r="K306" s="10" t="n">
        <f aca="true">IF($J306=1,RAND(),-1)</f>
        <v>-1</v>
      </c>
      <c r="L306" s="10" t="str">
        <f aca="false">IF($J306=1,RANK($K306,$K$2:$K$1001),"")</f>
        <v/>
      </c>
    </row>
    <row r="307" customFormat="false" ht="15" hidden="false" customHeight="false" outlineLevel="0" collapsed="false">
      <c r="J307" s="10" t="n">
        <f aca="false">IF($D307="",0,IF(AND(OR(Test!$B$4="Hepsi",$B307=Test!$B$4),OR(Test!$B$5="Hepsi",$C307=Test!$B$5)),1,0))</f>
        <v>0</v>
      </c>
      <c r="K307" s="10" t="n">
        <f aca="true">IF($J307=1,RAND(),-1)</f>
        <v>-1</v>
      </c>
      <c r="L307" s="10" t="str">
        <f aca="false">IF($J307=1,RANK($K307,$K$2:$K$1001),"")</f>
        <v/>
      </c>
    </row>
    <row r="308" customFormat="false" ht="15" hidden="false" customHeight="false" outlineLevel="0" collapsed="false">
      <c r="J308" s="10" t="n">
        <f aca="false">IF($D308="",0,IF(AND(OR(Test!$B$4="Hepsi",$B308=Test!$B$4),OR(Test!$B$5="Hepsi",$C308=Test!$B$5)),1,0))</f>
        <v>0</v>
      </c>
      <c r="K308" s="10" t="n">
        <f aca="true">IF($J308=1,RAND(),-1)</f>
        <v>-1</v>
      </c>
      <c r="L308" s="10" t="str">
        <f aca="false">IF($J308=1,RANK($K308,$K$2:$K$1001),"")</f>
        <v/>
      </c>
    </row>
    <row r="309" customFormat="false" ht="15" hidden="false" customHeight="false" outlineLevel="0" collapsed="false">
      <c r="J309" s="10" t="n">
        <f aca="false">IF($D309="",0,IF(AND(OR(Test!$B$4="Hepsi",$B309=Test!$B$4),OR(Test!$B$5="Hepsi",$C309=Test!$B$5)),1,0))</f>
        <v>0</v>
      </c>
      <c r="K309" s="10" t="n">
        <f aca="true">IF($J309=1,RAND(),-1)</f>
        <v>-1</v>
      </c>
      <c r="L309" s="10" t="str">
        <f aca="false">IF($J309=1,RANK($K309,$K$2:$K$1001),"")</f>
        <v/>
      </c>
    </row>
    <row r="310" customFormat="false" ht="15" hidden="false" customHeight="false" outlineLevel="0" collapsed="false">
      <c r="J310" s="10" t="n">
        <f aca="false">IF($D310="",0,IF(AND(OR(Test!$B$4="Hepsi",$B310=Test!$B$4),OR(Test!$B$5="Hepsi",$C310=Test!$B$5)),1,0))</f>
        <v>0</v>
      </c>
      <c r="K310" s="10" t="n">
        <f aca="true">IF($J310=1,RAND(),-1)</f>
        <v>-1</v>
      </c>
      <c r="L310" s="10" t="str">
        <f aca="false">IF($J310=1,RANK($K310,$K$2:$K$1001),"")</f>
        <v/>
      </c>
    </row>
    <row r="311" customFormat="false" ht="15" hidden="false" customHeight="false" outlineLevel="0" collapsed="false">
      <c r="J311" s="10" t="n">
        <f aca="false">IF($D311="",0,IF(AND(OR(Test!$B$4="Hepsi",$B311=Test!$B$4),OR(Test!$B$5="Hepsi",$C311=Test!$B$5)),1,0))</f>
        <v>0</v>
      </c>
      <c r="K311" s="10" t="n">
        <f aca="true">IF($J311=1,RAND(),-1)</f>
        <v>-1</v>
      </c>
      <c r="L311" s="10" t="str">
        <f aca="false">IF($J311=1,RANK($K311,$K$2:$K$1001),"")</f>
        <v/>
      </c>
    </row>
    <row r="312" customFormat="false" ht="15" hidden="false" customHeight="false" outlineLevel="0" collapsed="false">
      <c r="J312" s="10" t="n">
        <f aca="false">IF($D312="",0,IF(AND(OR(Test!$B$4="Hepsi",$B312=Test!$B$4),OR(Test!$B$5="Hepsi",$C312=Test!$B$5)),1,0))</f>
        <v>0</v>
      </c>
      <c r="K312" s="10" t="n">
        <f aca="true">IF($J312=1,RAND(),-1)</f>
        <v>-1</v>
      </c>
      <c r="L312" s="10" t="str">
        <f aca="false">IF($J312=1,RANK($K312,$K$2:$K$1001),"")</f>
        <v/>
      </c>
    </row>
    <row r="313" customFormat="false" ht="15" hidden="false" customHeight="false" outlineLevel="0" collapsed="false">
      <c r="J313" s="10" t="n">
        <f aca="false">IF($D313="",0,IF(AND(OR(Test!$B$4="Hepsi",$B313=Test!$B$4),OR(Test!$B$5="Hepsi",$C313=Test!$B$5)),1,0))</f>
        <v>0</v>
      </c>
      <c r="K313" s="10" t="n">
        <f aca="true">IF($J313=1,RAND(),-1)</f>
        <v>-1</v>
      </c>
      <c r="L313" s="10" t="str">
        <f aca="false">IF($J313=1,RANK($K313,$K$2:$K$1001),"")</f>
        <v/>
      </c>
    </row>
    <row r="314" customFormat="false" ht="15" hidden="false" customHeight="false" outlineLevel="0" collapsed="false">
      <c r="J314" s="10" t="n">
        <f aca="false">IF($D314="",0,IF(AND(OR(Test!$B$4="Hepsi",$B314=Test!$B$4),OR(Test!$B$5="Hepsi",$C314=Test!$B$5)),1,0))</f>
        <v>0</v>
      </c>
      <c r="K314" s="10" t="n">
        <f aca="true">IF($J314=1,RAND(),-1)</f>
        <v>-1</v>
      </c>
      <c r="L314" s="10" t="str">
        <f aca="false">IF($J314=1,RANK($K314,$K$2:$K$1001),"")</f>
        <v/>
      </c>
    </row>
    <row r="315" customFormat="false" ht="15" hidden="false" customHeight="false" outlineLevel="0" collapsed="false">
      <c r="J315" s="10" t="n">
        <f aca="false">IF($D315="",0,IF(AND(OR(Test!$B$4="Hepsi",$B315=Test!$B$4),OR(Test!$B$5="Hepsi",$C315=Test!$B$5)),1,0))</f>
        <v>0</v>
      </c>
      <c r="K315" s="10" t="n">
        <f aca="true">IF($J315=1,RAND(),-1)</f>
        <v>-1</v>
      </c>
      <c r="L315" s="10" t="str">
        <f aca="false">IF($J315=1,RANK($K315,$K$2:$K$1001),"")</f>
        <v/>
      </c>
    </row>
    <row r="316" customFormat="false" ht="15" hidden="false" customHeight="false" outlineLevel="0" collapsed="false">
      <c r="J316" s="10" t="n">
        <f aca="false">IF($D316="",0,IF(AND(OR(Test!$B$4="Hepsi",$B316=Test!$B$4),OR(Test!$B$5="Hepsi",$C316=Test!$B$5)),1,0))</f>
        <v>0</v>
      </c>
      <c r="K316" s="10" t="n">
        <f aca="true">IF($J316=1,RAND(),-1)</f>
        <v>-1</v>
      </c>
      <c r="L316" s="10" t="str">
        <f aca="false">IF($J316=1,RANK($K316,$K$2:$K$1001),"")</f>
        <v/>
      </c>
    </row>
    <row r="317" customFormat="false" ht="15" hidden="false" customHeight="false" outlineLevel="0" collapsed="false">
      <c r="J317" s="10" t="n">
        <f aca="false">IF($D317="",0,IF(AND(OR(Test!$B$4="Hepsi",$B317=Test!$B$4),OR(Test!$B$5="Hepsi",$C317=Test!$B$5)),1,0))</f>
        <v>0</v>
      </c>
      <c r="K317" s="10" t="n">
        <f aca="true">IF($J317=1,RAND(),-1)</f>
        <v>-1</v>
      </c>
      <c r="L317" s="10" t="str">
        <f aca="false">IF($J317=1,RANK($K317,$K$2:$K$1001),"")</f>
        <v/>
      </c>
    </row>
    <row r="318" customFormat="false" ht="15" hidden="false" customHeight="false" outlineLevel="0" collapsed="false">
      <c r="J318" s="10" t="n">
        <f aca="false">IF($D318="",0,IF(AND(OR(Test!$B$4="Hepsi",$B318=Test!$B$4),OR(Test!$B$5="Hepsi",$C318=Test!$B$5)),1,0))</f>
        <v>0</v>
      </c>
      <c r="K318" s="10" t="n">
        <f aca="true">IF($J318=1,RAND(),-1)</f>
        <v>-1</v>
      </c>
      <c r="L318" s="10" t="str">
        <f aca="false">IF($J318=1,RANK($K318,$K$2:$K$1001),"")</f>
        <v/>
      </c>
    </row>
    <row r="319" customFormat="false" ht="15" hidden="false" customHeight="false" outlineLevel="0" collapsed="false">
      <c r="J319" s="10" t="n">
        <f aca="false">IF($D319="",0,IF(AND(OR(Test!$B$4="Hepsi",$B319=Test!$B$4),OR(Test!$B$5="Hepsi",$C319=Test!$B$5)),1,0))</f>
        <v>0</v>
      </c>
      <c r="K319" s="10" t="n">
        <f aca="true">IF($J319=1,RAND(),-1)</f>
        <v>-1</v>
      </c>
      <c r="L319" s="10" t="str">
        <f aca="false">IF($J319=1,RANK($K319,$K$2:$K$1001),"")</f>
        <v/>
      </c>
    </row>
    <row r="320" customFormat="false" ht="15" hidden="false" customHeight="false" outlineLevel="0" collapsed="false">
      <c r="J320" s="10" t="n">
        <f aca="false">IF($D320="",0,IF(AND(OR(Test!$B$4="Hepsi",$B320=Test!$B$4),OR(Test!$B$5="Hepsi",$C320=Test!$B$5)),1,0))</f>
        <v>0</v>
      </c>
      <c r="K320" s="10" t="n">
        <f aca="true">IF($J320=1,RAND(),-1)</f>
        <v>-1</v>
      </c>
      <c r="L320" s="10" t="str">
        <f aca="false">IF($J320=1,RANK($K320,$K$2:$K$1001),"")</f>
        <v/>
      </c>
    </row>
    <row r="321" customFormat="false" ht="15" hidden="false" customHeight="false" outlineLevel="0" collapsed="false">
      <c r="J321" s="10" t="n">
        <f aca="false">IF($D321="",0,IF(AND(OR(Test!$B$4="Hepsi",$B321=Test!$B$4),OR(Test!$B$5="Hepsi",$C321=Test!$B$5)),1,0))</f>
        <v>0</v>
      </c>
      <c r="K321" s="10" t="n">
        <f aca="true">IF($J321=1,RAND(),-1)</f>
        <v>-1</v>
      </c>
      <c r="L321" s="10" t="str">
        <f aca="false">IF($J321=1,RANK($K321,$K$2:$K$1001),"")</f>
        <v/>
      </c>
    </row>
    <row r="322" customFormat="false" ht="15" hidden="false" customHeight="false" outlineLevel="0" collapsed="false">
      <c r="J322" s="10" t="n">
        <f aca="false">IF($D322="",0,IF(AND(OR(Test!$B$4="Hepsi",$B322=Test!$B$4),OR(Test!$B$5="Hepsi",$C322=Test!$B$5)),1,0))</f>
        <v>0</v>
      </c>
      <c r="K322" s="10" t="n">
        <f aca="true">IF($J322=1,RAND(),-1)</f>
        <v>-1</v>
      </c>
      <c r="L322" s="10" t="str">
        <f aca="false">IF($J322=1,RANK($K322,$K$2:$K$1001),"")</f>
        <v/>
      </c>
    </row>
    <row r="323" customFormat="false" ht="15" hidden="false" customHeight="false" outlineLevel="0" collapsed="false">
      <c r="J323" s="10" t="n">
        <f aca="false">IF($D323="",0,IF(AND(OR(Test!$B$4="Hepsi",$B323=Test!$B$4),OR(Test!$B$5="Hepsi",$C323=Test!$B$5)),1,0))</f>
        <v>0</v>
      </c>
      <c r="K323" s="10" t="n">
        <f aca="true">IF($J323=1,RAND(),-1)</f>
        <v>-1</v>
      </c>
      <c r="L323" s="10" t="str">
        <f aca="false">IF($J323=1,RANK($K323,$K$2:$K$1001),"")</f>
        <v/>
      </c>
    </row>
    <row r="324" customFormat="false" ht="15" hidden="false" customHeight="false" outlineLevel="0" collapsed="false">
      <c r="J324" s="10" t="n">
        <f aca="false">IF($D324="",0,IF(AND(OR(Test!$B$4="Hepsi",$B324=Test!$B$4),OR(Test!$B$5="Hepsi",$C324=Test!$B$5)),1,0))</f>
        <v>0</v>
      </c>
      <c r="K324" s="10" t="n">
        <f aca="true">IF($J324=1,RAND(),-1)</f>
        <v>-1</v>
      </c>
      <c r="L324" s="10" t="str">
        <f aca="false">IF($J324=1,RANK($K324,$K$2:$K$1001),"")</f>
        <v/>
      </c>
    </row>
    <row r="325" customFormat="false" ht="15" hidden="false" customHeight="false" outlineLevel="0" collapsed="false">
      <c r="J325" s="10" t="n">
        <f aca="false">IF($D325="",0,IF(AND(OR(Test!$B$4="Hepsi",$B325=Test!$B$4),OR(Test!$B$5="Hepsi",$C325=Test!$B$5)),1,0))</f>
        <v>0</v>
      </c>
      <c r="K325" s="10" t="n">
        <f aca="true">IF($J325=1,RAND(),-1)</f>
        <v>-1</v>
      </c>
      <c r="L325" s="10" t="str">
        <f aca="false">IF($J325=1,RANK($K325,$K$2:$K$1001),"")</f>
        <v/>
      </c>
    </row>
    <row r="326" customFormat="false" ht="15" hidden="false" customHeight="false" outlineLevel="0" collapsed="false">
      <c r="J326" s="10" t="n">
        <f aca="false">IF($D326="",0,IF(AND(OR(Test!$B$4="Hepsi",$B326=Test!$B$4),OR(Test!$B$5="Hepsi",$C326=Test!$B$5)),1,0))</f>
        <v>0</v>
      </c>
      <c r="K326" s="10" t="n">
        <f aca="true">IF($J326=1,RAND(),-1)</f>
        <v>-1</v>
      </c>
      <c r="L326" s="10" t="str">
        <f aca="false">IF($J326=1,RANK($K326,$K$2:$K$1001),"")</f>
        <v/>
      </c>
    </row>
    <row r="327" customFormat="false" ht="15" hidden="false" customHeight="false" outlineLevel="0" collapsed="false">
      <c r="J327" s="10" t="n">
        <f aca="false">IF($D327="",0,IF(AND(OR(Test!$B$4="Hepsi",$B327=Test!$B$4),OR(Test!$B$5="Hepsi",$C327=Test!$B$5)),1,0))</f>
        <v>0</v>
      </c>
      <c r="K327" s="10" t="n">
        <f aca="true">IF($J327=1,RAND(),-1)</f>
        <v>-1</v>
      </c>
      <c r="L327" s="10" t="str">
        <f aca="false">IF($J327=1,RANK($K327,$K$2:$K$1001),"")</f>
        <v/>
      </c>
    </row>
    <row r="328" customFormat="false" ht="15" hidden="false" customHeight="false" outlineLevel="0" collapsed="false">
      <c r="J328" s="10" t="n">
        <f aca="false">IF($D328="",0,IF(AND(OR(Test!$B$4="Hepsi",$B328=Test!$B$4),OR(Test!$B$5="Hepsi",$C328=Test!$B$5)),1,0))</f>
        <v>0</v>
      </c>
      <c r="K328" s="10" t="n">
        <f aca="true">IF($J328=1,RAND(),-1)</f>
        <v>-1</v>
      </c>
      <c r="L328" s="10" t="str">
        <f aca="false">IF($J328=1,RANK($K328,$K$2:$K$1001),"")</f>
        <v/>
      </c>
    </row>
    <row r="329" customFormat="false" ht="15" hidden="false" customHeight="false" outlineLevel="0" collapsed="false">
      <c r="J329" s="10" t="n">
        <f aca="false">IF($D329="",0,IF(AND(OR(Test!$B$4="Hepsi",$B329=Test!$B$4),OR(Test!$B$5="Hepsi",$C329=Test!$B$5)),1,0))</f>
        <v>0</v>
      </c>
      <c r="K329" s="10" t="n">
        <f aca="true">IF($J329=1,RAND(),-1)</f>
        <v>-1</v>
      </c>
      <c r="L329" s="10" t="str">
        <f aca="false">IF($J329=1,RANK($K329,$K$2:$K$1001),"")</f>
        <v/>
      </c>
    </row>
    <row r="330" customFormat="false" ht="15" hidden="false" customHeight="false" outlineLevel="0" collapsed="false">
      <c r="J330" s="10" t="n">
        <f aca="false">IF($D330="",0,IF(AND(OR(Test!$B$4="Hepsi",$B330=Test!$B$4),OR(Test!$B$5="Hepsi",$C330=Test!$B$5)),1,0))</f>
        <v>0</v>
      </c>
      <c r="K330" s="10" t="n">
        <f aca="true">IF($J330=1,RAND(),-1)</f>
        <v>-1</v>
      </c>
      <c r="L330" s="10" t="str">
        <f aca="false">IF($J330=1,RANK($K330,$K$2:$K$1001),"")</f>
        <v/>
      </c>
    </row>
    <row r="331" customFormat="false" ht="15" hidden="false" customHeight="false" outlineLevel="0" collapsed="false">
      <c r="J331" s="10" t="n">
        <f aca="false">IF($D331="",0,IF(AND(OR(Test!$B$4="Hepsi",$B331=Test!$B$4),OR(Test!$B$5="Hepsi",$C331=Test!$B$5)),1,0))</f>
        <v>0</v>
      </c>
      <c r="K331" s="10" t="n">
        <f aca="true">IF($J331=1,RAND(),-1)</f>
        <v>-1</v>
      </c>
      <c r="L331" s="10" t="str">
        <f aca="false">IF($J331=1,RANK($K331,$K$2:$K$1001),"")</f>
        <v/>
      </c>
    </row>
    <row r="332" customFormat="false" ht="15" hidden="false" customHeight="false" outlineLevel="0" collapsed="false">
      <c r="J332" s="10" t="n">
        <f aca="false">IF($D332="",0,IF(AND(OR(Test!$B$4="Hepsi",$B332=Test!$B$4),OR(Test!$B$5="Hepsi",$C332=Test!$B$5)),1,0))</f>
        <v>0</v>
      </c>
      <c r="K332" s="10" t="n">
        <f aca="true">IF($J332=1,RAND(),-1)</f>
        <v>-1</v>
      </c>
      <c r="L332" s="10" t="str">
        <f aca="false">IF($J332=1,RANK($K332,$K$2:$K$1001),"")</f>
        <v/>
      </c>
    </row>
    <row r="333" customFormat="false" ht="15" hidden="false" customHeight="false" outlineLevel="0" collapsed="false">
      <c r="J333" s="10" t="n">
        <f aca="false">IF($D333="",0,IF(AND(OR(Test!$B$4="Hepsi",$B333=Test!$B$4),OR(Test!$B$5="Hepsi",$C333=Test!$B$5)),1,0))</f>
        <v>0</v>
      </c>
      <c r="K333" s="10" t="n">
        <f aca="true">IF($J333=1,RAND(),-1)</f>
        <v>-1</v>
      </c>
      <c r="L333" s="10" t="str">
        <f aca="false">IF($J333=1,RANK($K333,$K$2:$K$1001),"")</f>
        <v/>
      </c>
    </row>
    <row r="334" customFormat="false" ht="15" hidden="false" customHeight="false" outlineLevel="0" collapsed="false">
      <c r="J334" s="10" t="n">
        <f aca="false">IF($D334="",0,IF(AND(OR(Test!$B$4="Hepsi",$B334=Test!$B$4),OR(Test!$B$5="Hepsi",$C334=Test!$B$5)),1,0))</f>
        <v>0</v>
      </c>
      <c r="K334" s="10" t="n">
        <f aca="true">IF($J334=1,RAND(),-1)</f>
        <v>-1</v>
      </c>
      <c r="L334" s="10" t="str">
        <f aca="false">IF($J334=1,RANK($K334,$K$2:$K$1001),"")</f>
        <v/>
      </c>
    </row>
    <row r="335" customFormat="false" ht="15" hidden="false" customHeight="false" outlineLevel="0" collapsed="false">
      <c r="J335" s="10" t="n">
        <f aca="false">IF($D335="",0,IF(AND(OR(Test!$B$4="Hepsi",$B335=Test!$B$4),OR(Test!$B$5="Hepsi",$C335=Test!$B$5)),1,0))</f>
        <v>0</v>
      </c>
      <c r="K335" s="10" t="n">
        <f aca="true">IF($J335=1,RAND(),-1)</f>
        <v>-1</v>
      </c>
      <c r="L335" s="10" t="str">
        <f aca="false">IF($J335=1,RANK($K335,$K$2:$K$1001),"")</f>
        <v/>
      </c>
    </row>
    <row r="336" customFormat="false" ht="15" hidden="false" customHeight="false" outlineLevel="0" collapsed="false">
      <c r="J336" s="10" t="n">
        <f aca="false">IF($D336="",0,IF(AND(OR(Test!$B$4="Hepsi",$B336=Test!$B$4),OR(Test!$B$5="Hepsi",$C336=Test!$B$5)),1,0))</f>
        <v>0</v>
      </c>
      <c r="K336" s="10" t="n">
        <f aca="true">IF($J336=1,RAND(),-1)</f>
        <v>-1</v>
      </c>
      <c r="L336" s="10" t="str">
        <f aca="false">IF($J336=1,RANK($K336,$K$2:$K$1001),"")</f>
        <v/>
      </c>
    </row>
    <row r="337" customFormat="false" ht="15" hidden="false" customHeight="false" outlineLevel="0" collapsed="false">
      <c r="J337" s="10" t="n">
        <f aca="false">IF($D337="",0,IF(AND(OR(Test!$B$4="Hepsi",$B337=Test!$B$4),OR(Test!$B$5="Hepsi",$C337=Test!$B$5)),1,0))</f>
        <v>0</v>
      </c>
      <c r="K337" s="10" t="n">
        <f aca="true">IF($J337=1,RAND(),-1)</f>
        <v>-1</v>
      </c>
      <c r="L337" s="10" t="str">
        <f aca="false">IF($J337=1,RANK($K337,$K$2:$K$1001),"")</f>
        <v/>
      </c>
    </row>
    <row r="338" customFormat="false" ht="15" hidden="false" customHeight="false" outlineLevel="0" collapsed="false">
      <c r="J338" s="10" t="n">
        <f aca="false">IF($D338="",0,IF(AND(OR(Test!$B$4="Hepsi",$B338=Test!$B$4),OR(Test!$B$5="Hepsi",$C338=Test!$B$5)),1,0))</f>
        <v>0</v>
      </c>
      <c r="K338" s="10" t="n">
        <f aca="true">IF($J338=1,RAND(),-1)</f>
        <v>-1</v>
      </c>
      <c r="L338" s="10" t="str">
        <f aca="false">IF($J338=1,RANK($K338,$K$2:$K$1001),"")</f>
        <v/>
      </c>
    </row>
    <row r="339" customFormat="false" ht="15" hidden="false" customHeight="false" outlineLevel="0" collapsed="false">
      <c r="J339" s="10" t="n">
        <f aca="false">IF($D339="",0,IF(AND(OR(Test!$B$4="Hepsi",$B339=Test!$B$4),OR(Test!$B$5="Hepsi",$C339=Test!$B$5)),1,0))</f>
        <v>0</v>
      </c>
      <c r="K339" s="10" t="n">
        <f aca="true">IF($J339=1,RAND(),-1)</f>
        <v>-1</v>
      </c>
      <c r="L339" s="10" t="str">
        <f aca="false">IF($J339=1,RANK($K339,$K$2:$K$1001),"")</f>
        <v/>
      </c>
    </row>
    <row r="340" customFormat="false" ht="15" hidden="false" customHeight="false" outlineLevel="0" collapsed="false">
      <c r="J340" s="10" t="n">
        <f aca="false">IF($D340="",0,IF(AND(OR(Test!$B$4="Hepsi",$B340=Test!$B$4),OR(Test!$B$5="Hepsi",$C340=Test!$B$5)),1,0))</f>
        <v>0</v>
      </c>
      <c r="K340" s="10" t="n">
        <f aca="true">IF($J340=1,RAND(),-1)</f>
        <v>-1</v>
      </c>
      <c r="L340" s="10" t="str">
        <f aca="false">IF($J340=1,RANK($K340,$K$2:$K$1001),"")</f>
        <v/>
      </c>
    </row>
    <row r="341" customFormat="false" ht="15" hidden="false" customHeight="false" outlineLevel="0" collapsed="false">
      <c r="J341" s="10" t="n">
        <f aca="false">IF($D341="",0,IF(AND(OR(Test!$B$4="Hepsi",$B341=Test!$B$4),OR(Test!$B$5="Hepsi",$C341=Test!$B$5)),1,0))</f>
        <v>0</v>
      </c>
      <c r="K341" s="10" t="n">
        <f aca="true">IF($J341=1,RAND(),-1)</f>
        <v>-1</v>
      </c>
      <c r="L341" s="10" t="str">
        <f aca="false">IF($J341=1,RANK($K341,$K$2:$K$1001),"")</f>
        <v/>
      </c>
    </row>
    <row r="342" customFormat="false" ht="15" hidden="false" customHeight="false" outlineLevel="0" collapsed="false">
      <c r="J342" s="10" t="n">
        <f aca="false">IF($D342="",0,IF(AND(OR(Test!$B$4="Hepsi",$B342=Test!$B$4),OR(Test!$B$5="Hepsi",$C342=Test!$B$5)),1,0))</f>
        <v>0</v>
      </c>
      <c r="K342" s="10" t="n">
        <f aca="true">IF($J342=1,RAND(),-1)</f>
        <v>-1</v>
      </c>
      <c r="L342" s="10" t="str">
        <f aca="false">IF($J342=1,RANK($K342,$K$2:$K$1001),"")</f>
        <v/>
      </c>
    </row>
    <row r="343" customFormat="false" ht="15" hidden="false" customHeight="false" outlineLevel="0" collapsed="false">
      <c r="J343" s="10" t="n">
        <f aca="false">IF($D343="",0,IF(AND(OR(Test!$B$4="Hepsi",$B343=Test!$B$4),OR(Test!$B$5="Hepsi",$C343=Test!$B$5)),1,0))</f>
        <v>0</v>
      </c>
      <c r="K343" s="10" t="n">
        <f aca="true">IF($J343=1,RAND(),-1)</f>
        <v>-1</v>
      </c>
      <c r="L343" s="10" t="str">
        <f aca="false">IF($J343=1,RANK($K343,$K$2:$K$1001),"")</f>
        <v/>
      </c>
    </row>
    <row r="344" customFormat="false" ht="15" hidden="false" customHeight="false" outlineLevel="0" collapsed="false">
      <c r="J344" s="10" t="n">
        <f aca="false">IF($D344="",0,IF(AND(OR(Test!$B$4="Hepsi",$B344=Test!$B$4),OR(Test!$B$5="Hepsi",$C344=Test!$B$5)),1,0))</f>
        <v>0</v>
      </c>
      <c r="K344" s="10" t="n">
        <f aca="true">IF($J344=1,RAND(),-1)</f>
        <v>-1</v>
      </c>
      <c r="L344" s="10" t="str">
        <f aca="false">IF($J344=1,RANK($K344,$K$2:$K$1001),"")</f>
        <v/>
      </c>
    </row>
    <row r="345" customFormat="false" ht="15" hidden="false" customHeight="false" outlineLevel="0" collapsed="false">
      <c r="J345" s="10" t="n">
        <f aca="false">IF($D345="",0,IF(AND(OR(Test!$B$4="Hepsi",$B345=Test!$B$4),OR(Test!$B$5="Hepsi",$C345=Test!$B$5)),1,0))</f>
        <v>0</v>
      </c>
      <c r="K345" s="10" t="n">
        <f aca="true">IF($J345=1,RAND(),-1)</f>
        <v>-1</v>
      </c>
      <c r="L345" s="10" t="str">
        <f aca="false">IF($J345=1,RANK($K345,$K$2:$K$1001),"")</f>
        <v/>
      </c>
    </row>
    <row r="346" customFormat="false" ht="15" hidden="false" customHeight="false" outlineLevel="0" collapsed="false">
      <c r="J346" s="10" t="n">
        <f aca="false">IF($D346="",0,IF(AND(OR(Test!$B$4="Hepsi",$B346=Test!$B$4),OR(Test!$B$5="Hepsi",$C346=Test!$B$5)),1,0))</f>
        <v>0</v>
      </c>
      <c r="K346" s="10" t="n">
        <f aca="true">IF($J346=1,RAND(),-1)</f>
        <v>-1</v>
      </c>
      <c r="L346" s="10" t="str">
        <f aca="false">IF($J346=1,RANK($K346,$K$2:$K$1001),"")</f>
        <v/>
      </c>
    </row>
    <row r="347" customFormat="false" ht="15" hidden="false" customHeight="false" outlineLevel="0" collapsed="false">
      <c r="J347" s="10" t="n">
        <f aca="false">IF($D347="",0,IF(AND(OR(Test!$B$4="Hepsi",$B347=Test!$B$4),OR(Test!$B$5="Hepsi",$C347=Test!$B$5)),1,0))</f>
        <v>0</v>
      </c>
      <c r="K347" s="10" t="n">
        <f aca="true">IF($J347=1,RAND(),-1)</f>
        <v>-1</v>
      </c>
      <c r="L347" s="10" t="str">
        <f aca="false">IF($J347=1,RANK($K347,$K$2:$K$1001),"")</f>
        <v/>
      </c>
    </row>
    <row r="348" customFormat="false" ht="15" hidden="false" customHeight="false" outlineLevel="0" collapsed="false">
      <c r="J348" s="10" t="n">
        <f aca="false">IF($D348="",0,IF(AND(OR(Test!$B$4="Hepsi",$B348=Test!$B$4),OR(Test!$B$5="Hepsi",$C348=Test!$B$5)),1,0))</f>
        <v>0</v>
      </c>
      <c r="K348" s="10" t="n">
        <f aca="true">IF($J348=1,RAND(),-1)</f>
        <v>-1</v>
      </c>
      <c r="L348" s="10" t="str">
        <f aca="false">IF($J348=1,RANK($K348,$K$2:$K$1001),"")</f>
        <v/>
      </c>
    </row>
    <row r="349" customFormat="false" ht="15" hidden="false" customHeight="false" outlineLevel="0" collapsed="false">
      <c r="J349" s="10" t="n">
        <f aca="false">IF($D349="",0,IF(AND(OR(Test!$B$4="Hepsi",$B349=Test!$B$4),OR(Test!$B$5="Hepsi",$C349=Test!$B$5)),1,0))</f>
        <v>0</v>
      </c>
      <c r="K349" s="10" t="n">
        <f aca="true">IF($J349=1,RAND(),-1)</f>
        <v>-1</v>
      </c>
      <c r="L349" s="10" t="str">
        <f aca="false">IF($J349=1,RANK($K349,$K$2:$K$1001),"")</f>
        <v/>
      </c>
    </row>
    <row r="350" customFormat="false" ht="15" hidden="false" customHeight="false" outlineLevel="0" collapsed="false">
      <c r="J350" s="10" t="n">
        <f aca="false">IF($D350="",0,IF(AND(OR(Test!$B$4="Hepsi",$B350=Test!$B$4),OR(Test!$B$5="Hepsi",$C350=Test!$B$5)),1,0))</f>
        <v>0</v>
      </c>
      <c r="K350" s="10" t="n">
        <f aca="true">IF($J350=1,RAND(),-1)</f>
        <v>-1</v>
      </c>
      <c r="L350" s="10" t="str">
        <f aca="false">IF($J350=1,RANK($K350,$K$2:$K$1001),"")</f>
        <v/>
      </c>
    </row>
    <row r="351" customFormat="false" ht="15" hidden="false" customHeight="false" outlineLevel="0" collapsed="false">
      <c r="J351" s="10" t="n">
        <f aca="false">IF($D351="",0,IF(AND(OR(Test!$B$4="Hepsi",$B351=Test!$B$4),OR(Test!$B$5="Hepsi",$C351=Test!$B$5)),1,0))</f>
        <v>0</v>
      </c>
      <c r="K351" s="10" t="n">
        <f aca="true">IF($J351=1,RAND(),-1)</f>
        <v>-1</v>
      </c>
      <c r="L351" s="10" t="str">
        <f aca="false">IF($J351=1,RANK($K351,$K$2:$K$1001),"")</f>
        <v/>
      </c>
    </row>
    <row r="352" customFormat="false" ht="15" hidden="false" customHeight="false" outlineLevel="0" collapsed="false">
      <c r="J352" s="10" t="n">
        <f aca="false">IF($D352="",0,IF(AND(OR(Test!$B$4="Hepsi",$B352=Test!$B$4),OR(Test!$B$5="Hepsi",$C352=Test!$B$5)),1,0))</f>
        <v>0</v>
      </c>
      <c r="K352" s="10" t="n">
        <f aca="true">IF($J352=1,RAND(),-1)</f>
        <v>-1</v>
      </c>
      <c r="L352" s="10" t="str">
        <f aca="false">IF($J352=1,RANK($K352,$K$2:$K$1001),"")</f>
        <v/>
      </c>
    </row>
    <row r="353" customFormat="false" ht="15" hidden="false" customHeight="false" outlineLevel="0" collapsed="false">
      <c r="J353" s="10" t="n">
        <f aca="false">IF($D353="",0,IF(AND(OR(Test!$B$4="Hepsi",$B353=Test!$B$4),OR(Test!$B$5="Hepsi",$C353=Test!$B$5)),1,0))</f>
        <v>0</v>
      </c>
      <c r="K353" s="10" t="n">
        <f aca="true">IF($J353=1,RAND(),-1)</f>
        <v>-1</v>
      </c>
      <c r="L353" s="10" t="str">
        <f aca="false">IF($J353=1,RANK($K353,$K$2:$K$1001),"")</f>
        <v/>
      </c>
    </row>
    <row r="354" customFormat="false" ht="15" hidden="false" customHeight="false" outlineLevel="0" collapsed="false">
      <c r="J354" s="10" t="n">
        <f aca="false">IF($D354="",0,IF(AND(OR(Test!$B$4="Hepsi",$B354=Test!$B$4),OR(Test!$B$5="Hepsi",$C354=Test!$B$5)),1,0))</f>
        <v>0</v>
      </c>
      <c r="K354" s="10" t="n">
        <f aca="true">IF($J354=1,RAND(),-1)</f>
        <v>-1</v>
      </c>
      <c r="L354" s="10" t="str">
        <f aca="false">IF($J354=1,RANK($K354,$K$2:$K$1001),"")</f>
        <v/>
      </c>
    </row>
    <row r="355" customFormat="false" ht="15" hidden="false" customHeight="false" outlineLevel="0" collapsed="false">
      <c r="J355" s="10" t="n">
        <f aca="false">IF($D355="",0,IF(AND(OR(Test!$B$4="Hepsi",$B355=Test!$B$4),OR(Test!$B$5="Hepsi",$C355=Test!$B$5)),1,0))</f>
        <v>0</v>
      </c>
      <c r="K355" s="10" t="n">
        <f aca="true">IF($J355=1,RAND(),-1)</f>
        <v>-1</v>
      </c>
      <c r="L355" s="10" t="str">
        <f aca="false">IF($J355=1,RANK($K355,$K$2:$K$1001),"")</f>
        <v/>
      </c>
    </row>
    <row r="356" customFormat="false" ht="15" hidden="false" customHeight="false" outlineLevel="0" collapsed="false">
      <c r="J356" s="10" t="n">
        <f aca="false">IF($D356="",0,IF(AND(OR(Test!$B$4="Hepsi",$B356=Test!$B$4),OR(Test!$B$5="Hepsi",$C356=Test!$B$5)),1,0))</f>
        <v>0</v>
      </c>
      <c r="K356" s="10" t="n">
        <f aca="true">IF($J356=1,RAND(),-1)</f>
        <v>-1</v>
      </c>
      <c r="L356" s="10" t="str">
        <f aca="false">IF($J356=1,RANK($K356,$K$2:$K$1001),"")</f>
        <v/>
      </c>
    </row>
    <row r="357" customFormat="false" ht="15" hidden="false" customHeight="false" outlineLevel="0" collapsed="false">
      <c r="J357" s="10" t="n">
        <f aca="false">IF($D357="",0,IF(AND(OR(Test!$B$4="Hepsi",$B357=Test!$B$4),OR(Test!$B$5="Hepsi",$C357=Test!$B$5)),1,0))</f>
        <v>0</v>
      </c>
      <c r="K357" s="10" t="n">
        <f aca="true">IF($J357=1,RAND(),-1)</f>
        <v>-1</v>
      </c>
      <c r="L357" s="10" t="str">
        <f aca="false">IF($J357=1,RANK($K357,$K$2:$K$1001),"")</f>
        <v/>
      </c>
    </row>
    <row r="358" customFormat="false" ht="15" hidden="false" customHeight="false" outlineLevel="0" collapsed="false">
      <c r="J358" s="10" t="n">
        <f aca="false">IF($D358="",0,IF(AND(OR(Test!$B$4="Hepsi",$B358=Test!$B$4),OR(Test!$B$5="Hepsi",$C358=Test!$B$5)),1,0))</f>
        <v>0</v>
      </c>
      <c r="K358" s="10" t="n">
        <f aca="true">IF($J358=1,RAND(),-1)</f>
        <v>-1</v>
      </c>
      <c r="L358" s="10" t="str">
        <f aca="false">IF($J358=1,RANK($K358,$K$2:$K$1001),"")</f>
        <v/>
      </c>
    </row>
    <row r="359" customFormat="false" ht="15" hidden="false" customHeight="false" outlineLevel="0" collapsed="false">
      <c r="J359" s="10" t="n">
        <f aca="false">IF($D359="",0,IF(AND(OR(Test!$B$4="Hepsi",$B359=Test!$B$4),OR(Test!$B$5="Hepsi",$C359=Test!$B$5)),1,0))</f>
        <v>0</v>
      </c>
      <c r="K359" s="10" t="n">
        <f aca="true">IF($J359=1,RAND(),-1)</f>
        <v>-1</v>
      </c>
      <c r="L359" s="10" t="str">
        <f aca="false">IF($J359=1,RANK($K359,$K$2:$K$1001),"")</f>
        <v/>
      </c>
    </row>
    <row r="360" customFormat="false" ht="15" hidden="false" customHeight="false" outlineLevel="0" collapsed="false">
      <c r="J360" s="10" t="n">
        <f aca="false">IF($D360="",0,IF(AND(OR(Test!$B$4="Hepsi",$B360=Test!$B$4),OR(Test!$B$5="Hepsi",$C360=Test!$B$5)),1,0))</f>
        <v>0</v>
      </c>
      <c r="K360" s="10" t="n">
        <f aca="true">IF($J360=1,RAND(),-1)</f>
        <v>-1</v>
      </c>
      <c r="L360" s="10" t="str">
        <f aca="false">IF($J360=1,RANK($K360,$K$2:$K$1001),"")</f>
        <v/>
      </c>
    </row>
    <row r="361" customFormat="false" ht="15" hidden="false" customHeight="false" outlineLevel="0" collapsed="false">
      <c r="J361" s="10" t="n">
        <f aca="false">IF($D361="",0,IF(AND(OR(Test!$B$4="Hepsi",$B361=Test!$B$4),OR(Test!$B$5="Hepsi",$C361=Test!$B$5)),1,0))</f>
        <v>0</v>
      </c>
      <c r="K361" s="10" t="n">
        <f aca="true">IF($J361=1,RAND(),-1)</f>
        <v>-1</v>
      </c>
      <c r="L361" s="10" t="str">
        <f aca="false">IF($J361=1,RANK($K361,$K$2:$K$1001),"")</f>
        <v/>
      </c>
    </row>
    <row r="362" customFormat="false" ht="15" hidden="false" customHeight="false" outlineLevel="0" collapsed="false">
      <c r="J362" s="10" t="n">
        <f aca="false">IF($D362="",0,IF(AND(OR(Test!$B$4="Hepsi",$B362=Test!$B$4),OR(Test!$B$5="Hepsi",$C362=Test!$B$5)),1,0))</f>
        <v>0</v>
      </c>
      <c r="K362" s="10" t="n">
        <f aca="true">IF($J362=1,RAND(),-1)</f>
        <v>-1</v>
      </c>
      <c r="L362" s="10" t="str">
        <f aca="false">IF($J362=1,RANK($K362,$K$2:$K$1001),"")</f>
        <v/>
      </c>
    </row>
    <row r="363" customFormat="false" ht="15" hidden="false" customHeight="false" outlineLevel="0" collapsed="false">
      <c r="J363" s="10" t="n">
        <f aca="false">IF($D363="",0,IF(AND(OR(Test!$B$4="Hepsi",$B363=Test!$B$4),OR(Test!$B$5="Hepsi",$C363=Test!$B$5)),1,0))</f>
        <v>0</v>
      </c>
      <c r="K363" s="10" t="n">
        <f aca="true">IF($J363=1,RAND(),-1)</f>
        <v>-1</v>
      </c>
      <c r="L363" s="10" t="str">
        <f aca="false">IF($J363=1,RANK($K363,$K$2:$K$1001),"")</f>
        <v/>
      </c>
    </row>
    <row r="364" customFormat="false" ht="15" hidden="false" customHeight="false" outlineLevel="0" collapsed="false">
      <c r="J364" s="10" t="n">
        <f aca="false">IF($D364="",0,IF(AND(OR(Test!$B$4="Hepsi",$B364=Test!$B$4),OR(Test!$B$5="Hepsi",$C364=Test!$B$5)),1,0))</f>
        <v>0</v>
      </c>
      <c r="K364" s="10" t="n">
        <f aca="true">IF($J364=1,RAND(),-1)</f>
        <v>-1</v>
      </c>
      <c r="L364" s="10" t="str">
        <f aca="false">IF($J364=1,RANK($K364,$K$2:$K$1001),"")</f>
        <v/>
      </c>
    </row>
    <row r="365" customFormat="false" ht="15" hidden="false" customHeight="false" outlineLevel="0" collapsed="false">
      <c r="J365" s="10" t="n">
        <f aca="false">IF($D365="",0,IF(AND(OR(Test!$B$4="Hepsi",$B365=Test!$B$4),OR(Test!$B$5="Hepsi",$C365=Test!$B$5)),1,0))</f>
        <v>0</v>
      </c>
      <c r="K365" s="10" t="n">
        <f aca="true">IF($J365=1,RAND(),-1)</f>
        <v>-1</v>
      </c>
      <c r="L365" s="10" t="str">
        <f aca="false">IF($J365=1,RANK($K365,$K$2:$K$1001),"")</f>
        <v/>
      </c>
    </row>
    <row r="366" customFormat="false" ht="15" hidden="false" customHeight="false" outlineLevel="0" collapsed="false">
      <c r="J366" s="10" t="n">
        <f aca="false">IF($D366="",0,IF(AND(OR(Test!$B$4="Hepsi",$B366=Test!$B$4),OR(Test!$B$5="Hepsi",$C366=Test!$B$5)),1,0))</f>
        <v>0</v>
      </c>
      <c r="K366" s="10" t="n">
        <f aca="true">IF($J366=1,RAND(),-1)</f>
        <v>-1</v>
      </c>
      <c r="L366" s="10" t="str">
        <f aca="false">IF($J366=1,RANK($K366,$K$2:$K$1001),"")</f>
        <v/>
      </c>
    </row>
    <row r="367" customFormat="false" ht="15" hidden="false" customHeight="false" outlineLevel="0" collapsed="false">
      <c r="J367" s="10" t="n">
        <f aca="false">IF($D367="",0,IF(AND(OR(Test!$B$4="Hepsi",$B367=Test!$B$4),OR(Test!$B$5="Hepsi",$C367=Test!$B$5)),1,0))</f>
        <v>0</v>
      </c>
      <c r="K367" s="10" t="n">
        <f aca="true">IF($J367=1,RAND(),-1)</f>
        <v>-1</v>
      </c>
      <c r="L367" s="10" t="str">
        <f aca="false">IF($J367=1,RANK($K367,$K$2:$K$1001),"")</f>
        <v/>
      </c>
    </row>
    <row r="368" customFormat="false" ht="15" hidden="false" customHeight="false" outlineLevel="0" collapsed="false">
      <c r="J368" s="10" t="n">
        <f aca="false">IF($D368="",0,IF(AND(OR(Test!$B$4="Hepsi",$B368=Test!$B$4),OR(Test!$B$5="Hepsi",$C368=Test!$B$5)),1,0))</f>
        <v>0</v>
      </c>
      <c r="K368" s="10" t="n">
        <f aca="true">IF($J368=1,RAND(),-1)</f>
        <v>-1</v>
      </c>
      <c r="L368" s="10" t="str">
        <f aca="false">IF($J368=1,RANK($K368,$K$2:$K$1001),"")</f>
        <v/>
      </c>
    </row>
    <row r="369" customFormat="false" ht="15" hidden="false" customHeight="false" outlineLevel="0" collapsed="false">
      <c r="J369" s="10" t="n">
        <f aca="false">IF($D369="",0,IF(AND(OR(Test!$B$4="Hepsi",$B369=Test!$B$4),OR(Test!$B$5="Hepsi",$C369=Test!$B$5)),1,0))</f>
        <v>0</v>
      </c>
      <c r="K369" s="10" t="n">
        <f aca="true">IF($J369=1,RAND(),-1)</f>
        <v>-1</v>
      </c>
      <c r="L369" s="10" t="str">
        <f aca="false">IF($J369=1,RANK($K369,$K$2:$K$1001),"")</f>
        <v/>
      </c>
    </row>
    <row r="370" customFormat="false" ht="15" hidden="false" customHeight="false" outlineLevel="0" collapsed="false">
      <c r="J370" s="10" t="n">
        <f aca="false">IF($D370="",0,IF(AND(OR(Test!$B$4="Hepsi",$B370=Test!$B$4),OR(Test!$B$5="Hepsi",$C370=Test!$B$5)),1,0))</f>
        <v>0</v>
      </c>
      <c r="K370" s="10" t="n">
        <f aca="true">IF($J370=1,RAND(),-1)</f>
        <v>-1</v>
      </c>
      <c r="L370" s="10" t="str">
        <f aca="false">IF($J370=1,RANK($K370,$K$2:$K$1001),"")</f>
        <v/>
      </c>
    </row>
    <row r="371" customFormat="false" ht="15" hidden="false" customHeight="false" outlineLevel="0" collapsed="false">
      <c r="J371" s="10" t="n">
        <f aca="false">IF($D371="",0,IF(AND(OR(Test!$B$4="Hepsi",$B371=Test!$B$4),OR(Test!$B$5="Hepsi",$C371=Test!$B$5)),1,0))</f>
        <v>0</v>
      </c>
      <c r="K371" s="10" t="n">
        <f aca="true">IF($J371=1,RAND(),-1)</f>
        <v>-1</v>
      </c>
      <c r="L371" s="10" t="str">
        <f aca="false">IF($J371=1,RANK($K371,$K$2:$K$1001),"")</f>
        <v/>
      </c>
    </row>
    <row r="372" customFormat="false" ht="15" hidden="false" customHeight="false" outlineLevel="0" collapsed="false">
      <c r="J372" s="10" t="n">
        <f aca="false">IF($D372="",0,IF(AND(OR(Test!$B$4="Hepsi",$B372=Test!$B$4),OR(Test!$B$5="Hepsi",$C372=Test!$B$5)),1,0))</f>
        <v>0</v>
      </c>
      <c r="K372" s="10" t="n">
        <f aca="true">IF($J372=1,RAND(),-1)</f>
        <v>-1</v>
      </c>
      <c r="L372" s="10" t="str">
        <f aca="false">IF($J372=1,RANK($K372,$K$2:$K$1001),"")</f>
        <v/>
      </c>
    </row>
    <row r="373" customFormat="false" ht="15" hidden="false" customHeight="false" outlineLevel="0" collapsed="false">
      <c r="J373" s="10" t="n">
        <f aca="false">IF($D373="",0,IF(AND(OR(Test!$B$4="Hepsi",$B373=Test!$B$4),OR(Test!$B$5="Hepsi",$C373=Test!$B$5)),1,0))</f>
        <v>0</v>
      </c>
      <c r="K373" s="10" t="n">
        <f aca="true">IF($J373=1,RAND(),-1)</f>
        <v>-1</v>
      </c>
      <c r="L373" s="10" t="str">
        <f aca="false">IF($J373=1,RANK($K373,$K$2:$K$1001),"")</f>
        <v/>
      </c>
    </row>
    <row r="374" customFormat="false" ht="15" hidden="false" customHeight="false" outlineLevel="0" collapsed="false">
      <c r="J374" s="10" t="n">
        <f aca="false">IF($D374="",0,IF(AND(OR(Test!$B$4="Hepsi",$B374=Test!$B$4),OR(Test!$B$5="Hepsi",$C374=Test!$B$5)),1,0))</f>
        <v>0</v>
      </c>
      <c r="K374" s="10" t="n">
        <f aca="true">IF($J374=1,RAND(),-1)</f>
        <v>-1</v>
      </c>
      <c r="L374" s="10" t="str">
        <f aca="false">IF($J374=1,RANK($K374,$K$2:$K$1001),"")</f>
        <v/>
      </c>
    </row>
    <row r="375" customFormat="false" ht="15" hidden="false" customHeight="false" outlineLevel="0" collapsed="false">
      <c r="J375" s="10" t="n">
        <f aca="false">IF($D375="",0,IF(AND(OR(Test!$B$4="Hepsi",$B375=Test!$B$4),OR(Test!$B$5="Hepsi",$C375=Test!$B$5)),1,0))</f>
        <v>0</v>
      </c>
      <c r="K375" s="10" t="n">
        <f aca="true">IF($J375=1,RAND(),-1)</f>
        <v>-1</v>
      </c>
      <c r="L375" s="10" t="str">
        <f aca="false">IF($J375=1,RANK($K375,$K$2:$K$1001),"")</f>
        <v/>
      </c>
    </row>
    <row r="376" customFormat="false" ht="15" hidden="false" customHeight="false" outlineLevel="0" collapsed="false">
      <c r="J376" s="10" t="n">
        <f aca="false">IF($D376="",0,IF(AND(OR(Test!$B$4="Hepsi",$B376=Test!$B$4),OR(Test!$B$5="Hepsi",$C376=Test!$B$5)),1,0))</f>
        <v>0</v>
      </c>
      <c r="K376" s="10" t="n">
        <f aca="true">IF($J376=1,RAND(),-1)</f>
        <v>-1</v>
      </c>
      <c r="L376" s="10" t="str">
        <f aca="false">IF($J376=1,RANK($K376,$K$2:$K$1001),"")</f>
        <v/>
      </c>
    </row>
    <row r="377" customFormat="false" ht="15" hidden="false" customHeight="false" outlineLevel="0" collapsed="false">
      <c r="J377" s="10" t="n">
        <f aca="false">IF($D377="",0,IF(AND(OR(Test!$B$4="Hepsi",$B377=Test!$B$4),OR(Test!$B$5="Hepsi",$C377=Test!$B$5)),1,0))</f>
        <v>0</v>
      </c>
      <c r="K377" s="10" t="n">
        <f aca="true">IF($J377=1,RAND(),-1)</f>
        <v>-1</v>
      </c>
      <c r="L377" s="10" t="str">
        <f aca="false">IF($J377=1,RANK($K377,$K$2:$K$1001),"")</f>
        <v/>
      </c>
    </row>
    <row r="378" customFormat="false" ht="15" hidden="false" customHeight="false" outlineLevel="0" collapsed="false">
      <c r="J378" s="10" t="n">
        <f aca="false">IF($D378="",0,IF(AND(OR(Test!$B$4="Hepsi",$B378=Test!$B$4),OR(Test!$B$5="Hepsi",$C378=Test!$B$5)),1,0))</f>
        <v>0</v>
      </c>
      <c r="K378" s="10" t="n">
        <f aca="true">IF($J378=1,RAND(),-1)</f>
        <v>-1</v>
      </c>
      <c r="L378" s="10" t="str">
        <f aca="false">IF($J378=1,RANK($K378,$K$2:$K$1001),"")</f>
        <v/>
      </c>
    </row>
    <row r="379" customFormat="false" ht="15" hidden="false" customHeight="false" outlineLevel="0" collapsed="false">
      <c r="J379" s="10" t="n">
        <f aca="false">IF($D379="",0,IF(AND(OR(Test!$B$4="Hepsi",$B379=Test!$B$4),OR(Test!$B$5="Hepsi",$C379=Test!$B$5)),1,0))</f>
        <v>0</v>
      </c>
      <c r="K379" s="10" t="n">
        <f aca="true">IF($J379=1,RAND(),-1)</f>
        <v>-1</v>
      </c>
      <c r="L379" s="10" t="str">
        <f aca="false">IF($J379=1,RANK($K379,$K$2:$K$1001),"")</f>
        <v/>
      </c>
    </row>
    <row r="380" customFormat="false" ht="15" hidden="false" customHeight="false" outlineLevel="0" collapsed="false">
      <c r="J380" s="10" t="n">
        <f aca="false">IF($D380="",0,IF(AND(OR(Test!$B$4="Hepsi",$B380=Test!$B$4),OR(Test!$B$5="Hepsi",$C380=Test!$B$5)),1,0))</f>
        <v>0</v>
      </c>
      <c r="K380" s="10" t="n">
        <f aca="true">IF($J380=1,RAND(),-1)</f>
        <v>-1</v>
      </c>
      <c r="L380" s="10" t="str">
        <f aca="false">IF($J380=1,RANK($K380,$K$2:$K$1001),"")</f>
        <v/>
      </c>
    </row>
    <row r="381" customFormat="false" ht="15" hidden="false" customHeight="false" outlineLevel="0" collapsed="false">
      <c r="J381" s="10" t="n">
        <f aca="false">IF($D381="",0,IF(AND(OR(Test!$B$4="Hepsi",$B381=Test!$B$4),OR(Test!$B$5="Hepsi",$C381=Test!$B$5)),1,0))</f>
        <v>0</v>
      </c>
      <c r="K381" s="10" t="n">
        <f aca="true">IF($J381=1,RAND(),-1)</f>
        <v>-1</v>
      </c>
      <c r="L381" s="10" t="str">
        <f aca="false">IF($J381=1,RANK($K381,$K$2:$K$1001),"")</f>
        <v/>
      </c>
    </row>
    <row r="382" customFormat="false" ht="15" hidden="false" customHeight="false" outlineLevel="0" collapsed="false">
      <c r="J382" s="10" t="n">
        <f aca="false">IF($D382="",0,IF(AND(OR(Test!$B$4="Hepsi",$B382=Test!$B$4),OR(Test!$B$5="Hepsi",$C382=Test!$B$5)),1,0))</f>
        <v>0</v>
      </c>
      <c r="K382" s="10" t="n">
        <f aca="true">IF($J382=1,RAND(),-1)</f>
        <v>-1</v>
      </c>
      <c r="L382" s="10" t="str">
        <f aca="false">IF($J382=1,RANK($K382,$K$2:$K$1001),"")</f>
        <v/>
      </c>
    </row>
    <row r="383" customFormat="false" ht="15" hidden="false" customHeight="false" outlineLevel="0" collapsed="false">
      <c r="J383" s="10" t="n">
        <f aca="false">IF($D383="",0,IF(AND(OR(Test!$B$4="Hepsi",$B383=Test!$B$4),OR(Test!$B$5="Hepsi",$C383=Test!$B$5)),1,0))</f>
        <v>0</v>
      </c>
      <c r="K383" s="10" t="n">
        <f aca="true">IF($J383=1,RAND(),-1)</f>
        <v>-1</v>
      </c>
      <c r="L383" s="10" t="str">
        <f aca="false">IF($J383=1,RANK($K383,$K$2:$K$1001),"")</f>
        <v/>
      </c>
    </row>
    <row r="384" customFormat="false" ht="15" hidden="false" customHeight="false" outlineLevel="0" collapsed="false">
      <c r="J384" s="10" t="n">
        <f aca="false">IF($D384="",0,IF(AND(OR(Test!$B$4="Hepsi",$B384=Test!$B$4),OR(Test!$B$5="Hepsi",$C384=Test!$B$5)),1,0))</f>
        <v>0</v>
      </c>
      <c r="K384" s="10" t="n">
        <f aca="true">IF($J384=1,RAND(),-1)</f>
        <v>-1</v>
      </c>
      <c r="L384" s="10" t="str">
        <f aca="false">IF($J384=1,RANK($K384,$K$2:$K$1001),"")</f>
        <v/>
      </c>
    </row>
    <row r="385" customFormat="false" ht="15" hidden="false" customHeight="false" outlineLevel="0" collapsed="false">
      <c r="J385" s="10" t="n">
        <f aca="false">IF($D385="",0,IF(AND(OR(Test!$B$4="Hepsi",$B385=Test!$B$4),OR(Test!$B$5="Hepsi",$C385=Test!$B$5)),1,0))</f>
        <v>0</v>
      </c>
      <c r="K385" s="10" t="n">
        <f aca="true">IF($J385=1,RAND(),-1)</f>
        <v>-1</v>
      </c>
      <c r="L385" s="10" t="str">
        <f aca="false">IF($J385=1,RANK($K385,$K$2:$K$1001),"")</f>
        <v/>
      </c>
    </row>
    <row r="386" customFormat="false" ht="15" hidden="false" customHeight="false" outlineLevel="0" collapsed="false">
      <c r="J386" s="10" t="n">
        <f aca="false">IF($D386="",0,IF(AND(OR(Test!$B$4="Hepsi",$B386=Test!$B$4),OR(Test!$B$5="Hepsi",$C386=Test!$B$5)),1,0))</f>
        <v>0</v>
      </c>
      <c r="K386" s="10" t="n">
        <f aca="true">IF($J386=1,RAND(),-1)</f>
        <v>-1</v>
      </c>
      <c r="L386" s="10" t="str">
        <f aca="false">IF($J386=1,RANK($K386,$K$2:$K$1001),"")</f>
        <v/>
      </c>
    </row>
    <row r="387" customFormat="false" ht="15" hidden="false" customHeight="false" outlineLevel="0" collapsed="false">
      <c r="J387" s="10" t="n">
        <f aca="false">IF($D387="",0,IF(AND(OR(Test!$B$4="Hepsi",$B387=Test!$B$4),OR(Test!$B$5="Hepsi",$C387=Test!$B$5)),1,0))</f>
        <v>0</v>
      </c>
      <c r="K387" s="10" t="n">
        <f aca="true">IF($J387=1,RAND(),-1)</f>
        <v>-1</v>
      </c>
      <c r="L387" s="10" t="str">
        <f aca="false">IF($J387=1,RANK($K387,$K$2:$K$1001),"")</f>
        <v/>
      </c>
    </row>
    <row r="388" customFormat="false" ht="15" hidden="false" customHeight="false" outlineLevel="0" collapsed="false">
      <c r="J388" s="10" t="n">
        <f aca="false">IF($D388="",0,IF(AND(OR(Test!$B$4="Hepsi",$B388=Test!$B$4),OR(Test!$B$5="Hepsi",$C388=Test!$B$5)),1,0))</f>
        <v>0</v>
      </c>
      <c r="K388" s="10" t="n">
        <f aca="true">IF($J388=1,RAND(),-1)</f>
        <v>-1</v>
      </c>
      <c r="L388" s="10" t="str">
        <f aca="false">IF($J388=1,RANK($K388,$K$2:$K$1001),"")</f>
        <v/>
      </c>
    </row>
    <row r="389" customFormat="false" ht="15" hidden="false" customHeight="false" outlineLevel="0" collapsed="false">
      <c r="J389" s="10" t="n">
        <f aca="false">IF($D389="",0,IF(AND(OR(Test!$B$4="Hepsi",$B389=Test!$B$4),OR(Test!$B$5="Hepsi",$C389=Test!$B$5)),1,0))</f>
        <v>0</v>
      </c>
      <c r="K389" s="10" t="n">
        <f aca="true">IF($J389=1,RAND(),-1)</f>
        <v>-1</v>
      </c>
      <c r="L389" s="10" t="str">
        <f aca="false">IF($J389=1,RANK($K389,$K$2:$K$1001),"")</f>
        <v/>
      </c>
    </row>
    <row r="390" customFormat="false" ht="15" hidden="false" customHeight="false" outlineLevel="0" collapsed="false">
      <c r="J390" s="10" t="n">
        <f aca="false">IF($D390="",0,IF(AND(OR(Test!$B$4="Hepsi",$B390=Test!$B$4),OR(Test!$B$5="Hepsi",$C390=Test!$B$5)),1,0))</f>
        <v>0</v>
      </c>
      <c r="K390" s="10" t="n">
        <f aca="true">IF($J390=1,RAND(),-1)</f>
        <v>-1</v>
      </c>
      <c r="L390" s="10" t="str">
        <f aca="false">IF($J390=1,RANK($K390,$K$2:$K$1001),"")</f>
        <v/>
      </c>
    </row>
    <row r="391" customFormat="false" ht="15" hidden="false" customHeight="false" outlineLevel="0" collapsed="false">
      <c r="J391" s="10" t="n">
        <f aca="false">IF($D391="",0,IF(AND(OR(Test!$B$4="Hepsi",$B391=Test!$B$4),OR(Test!$B$5="Hepsi",$C391=Test!$B$5)),1,0))</f>
        <v>0</v>
      </c>
      <c r="K391" s="10" t="n">
        <f aca="true">IF($J391=1,RAND(),-1)</f>
        <v>-1</v>
      </c>
      <c r="L391" s="10" t="str">
        <f aca="false">IF($J391=1,RANK($K391,$K$2:$K$1001),"")</f>
        <v/>
      </c>
    </row>
    <row r="392" customFormat="false" ht="15" hidden="false" customHeight="false" outlineLevel="0" collapsed="false">
      <c r="J392" s="10" t="n">
        <f aca="false">IF($D392="",0,IF(AND(OR(Test!$B$4="Hepsi",$B392=Test!$B$4),OR(Test!$B$5="Hepsi",$C392=Test!$B$5)),1,0))</f>
        <v>0</v>
      </c>
      <c r="K392" s="10" t="n">
        <f aca="true">IF($J392=1,RAND(),-1)</f>
        <v>-1</v>
      </c>
      <c r="L392" s="10" t="str">
        <f aca="false">IF($J392=1,RANK($K392,$K$2:$K$1001),"")</f>
        <v/>
      </c>
    </row>
    <row r="393" customFormat="false" ht="15" hidden="false" customHeight="false" outlineLevel="0" collapsed="false">
      <c r="J393" s="10" t="n">
        <f aca="false">IF($D393="",0,IF(AND(OR(Test!$B$4="Hepsi",$B393=Test!$B$4),OR(Test!$B$5="Hepsi",$C393=Test!$B$5)),1,0))</f>
        <v>0</v>
      </c>
      <c r="K393" s="10" t="n">
        <f aca="true">IF($J393=1,RAND(),-1)</f>
        <v>-1</v>
      </c>
      <c r="L393" s="10" t="str">
        <f aca="false">IF($J393=1,RANK($K393,$K$2:$K$1001),"")</f>
        <v/>
      </c>
    </row>
    <row r="394" customFormat="false" ht="15" hidden="false" customHeight="false" outlineLevel="0" collapsed="false">
      <c r="J394" s="10" t="n">
        <f aca="false">IF($D394="",0,IF(AND(OR(Test!$B$4="Hepsi",$B394=Test!$B$4),OR(Test!$B$5="Hepsi",$C394=Test!$B$5)),1,0))</f>
        <v>0</v>
      </c>
      <c r="K394" s="10" t="n">
        <f aca="true">IF($J394=1,RAND(),-1)</f>
        <v>-1</v>
      </c>
      <c r="L394" s="10" t="str">
        <f aca="false">IF($J394=1,RANK($K394,$K$2:$K$1001),"")</f>
        <v/>
      </c>
    </row>
    <row r="395" customFormat="false" ht="15" hidden="false" customHeight="false" outlineLevel="0" collapsed="false">
      <c r="J395" s="10" t="n">
        <f aca="false">IF($D395="",0,IF(AND(OR(Test!$B$4="Hepsi",$B395=Test!$B$4),OR(Test!$B$5="Hepsi",$C395=Test!$B$5)),1,0))</f>
        <v>0</v>
      </c>
      <c r="K395" s="10" t="n">
        <f aca="true">IF($J395=1,RAND(),-1)</f>
        <v>-1</v>
      </c>
      <c r="L395" s="10" t="str">
        <f aca="false">IF($J395=1,RANK($K395,$K$2:$K$1001),"")</f>
        <v/>
      </c>
    </row>
    <row r="396" customFormat="false" ht="15" hidden="false" customHeight="false" outlineLevel="0" collapsed="false">
      <c r="J396" s="10" t="n">
        <f aca="false">IF($D396="",0,IF(AND(OR(Test!$B$4="Hepsi",$B396=Test!$B$4),OR(Test!$B$5="Hepsi",$C396=Test!$B$5)),1,0))</f>
        <v>0</v>
      </c>
      <c r="K396" s="10" t="n">
        <f aca="true">IF($J396=1,RAND(),-1)</f>
        <v>-1</v>
      </c>
      <c r="L396" s="10" t="str">
        <f aca="false">IF($J396=1,RANK($K396,$K$2:$K$1001),"")</f>
        <v/>
      </c>
    </row>
    <row r="397" customFormat="false" ht="15" hidden="false" customHeight="false" outlineLevel="0" collapsed="false">
      <c r="J397" s="10" t="n">
        <f aca="false">IF($D397="",0,IF(AND(OR(Test!$B$4="Hepsi",$B397=Test!$B$4),OR(Test!$B$5="Hepsi",$C397=Test!$B$5)),1,0))</f>
        <v>0</v>
      </c>
      <c r="K397" s="10" t="n">
        <f aca="true">IF($J397=1,RAND(),-1)</f>
        <v>-1</v>
      </c>
      <c r="L397" s="10" t="str">
        <f aca="false">IF($J397=1,RANK($K397,$K$2:$K$1001),"")</f>
        <v/>
      </c>
    </row>
    <row r="398" customFormat="false" ht="15" hidden="false" customHeight="false" outlineLevel="0" collapsed="false">
      <c r="J398" s="10" t="n">
        <f aca="false">IF($D398="",0,IF(AND(OR(Test!$B$4="Hepsi",$B398=Test!$B$4),OR(Test!$B$5="Hepsi",$C398=Test!$B$5)),1,0))</f>
        <v>0</v>
      </c>
      <c r="K398" s="10" t="n">
        <f aca="true">IF($J398=1,RAND(),-1)</f>
        <v>-1</v>
      </c>
      <c r="L398" s="10" t="str">
        <f aca="false">IF($J398=1,RANK($K398,$K$2:$K$1001),"")</f>
        <v/>
      </c>
    </row>
    <row r="399" customFormat="false" ht="15" hidden="false" customHeight="false" outlineLevel="0" collapsed="false">
      <c r="J399" s="10" t="n">
        <f aca="false">IF($D399="",0,IF(AND(OR(Test!$B$4="Hepsi",$B399=Test!$B$4),OR(Test!$B$5="Hepsi",$C399=Test!$B$5)),1,0))</f>
        <v>0</v>
      </c>
      <c r="K399" s="10" t="n">
        <f aca="true">IF($J399=1,RAND(),-1)</f>
        <v>-1</v>
      </c>
      <c r="L399" s="10" t="str">
        <f aca="false">IF($J399=1,RANK($K399,$K$2:$K$1001),"")</f>
        <v/>
      </c>
    </row>
    <row r="400" customFormat="false" ht="15" hidden="false" customHeight="false" outlineLevel="0" collapsed="false">
      <c r="J400" s="10" t="n">
        <f aca="false">IF($D400="",0,IF(AND(OR(Test!$B$4="Hepsi",$B400=Test!$B$4),OR(Test!$B$5="Hepsi",$C400=Test!$B$5)),1,0))</f>
        <v>0</v>
      </c>
      <c r="K400" s="10" t="n">
        <f aca="true">IF($J400=1,RAND(),-1)</f>
        <v>-1</v>
      </c>
      <c r="L400" s="10" t="str">
        <f aca="false">IF($J400=1,RANK($K400,$K$2:$K$1001),"")</f>
        <v/>
      </c>
    </row>
    <row r="401" customFormat="false" ht="15" hidden="false" customHeight="false" outlineLevel="0" collapsed="false">
      <c r="J401" s="10" t="n">
        <f aca="false">IF($D401="",0,IF(AND(OR(Test!$B$4="Hepsi",$B401=Test!$B$4),OR(Test!$B$5="Hepsi",$C401=Test!$B$5)),1,0))</f>
        <v>0</v>
      </c>
      <c r="K401" s="10" t="n">
        <f aca="true">IF($J401=1,RAND(),-1)</f>
        <v>-1</v>
      </c>
      <c r="L401" s="10" t="str">
        <f aca="false">IF($J401=1,RANK($K401,$K$2:$K$1001),"")</f>
        <v/>
      </c>
    </row>
    <row r="402" customFormat="false" ht="15" hidden="false" customHeight="false" outlineLevel="0" collapsed="false">
      <c r="J402" s="10" t="n">
        <f aca="false">IF($D402="",0,IF(AND(OR(Test!$B$4="Hepsi",$B402=Test!$B$4),OR(Test!$B$5="Hepsi",$C402=Test!$B$5)),1,0))</f>
        <v>0</v>
      </c>
      <c r="K402" s="10" t="n">
        <f aca="true">IF($J402=1,RAND(),-1)</f>
        <v>-1</v>
      </c>
      <c r="L402" s="10" t="str">
        <f aca="false">IF($J402=1,RANK($K402,$K$2:$K$1001),"")</f>
        <v/>
      </c>
    </row>
    <row r="403" customFormat="false" ht="15" hidden="false" customHeight="false" outlineLevel="0" collapsed="false">
      <c r="J403" s="10" t="n">
        <f aca="false">IF($D403="",0,IF(AND(OR(Test!$B$4="Hepsi",$B403=Test!$B$4),OR(Test!$B$5="Hepsi",$C403=Test!$B$5)),1,0))</f>
        <v>0</v>
      </c>
      <c r="K403" s="10" t="n">
        <f aca="true">IF($J403=1,RAND(),-1)</f>
        <v>-1</v>
      </c>
      <c r="L403" s="10" t="str">
        <f aca="false">IF($J403=1,RANK($K403,$K$2:$K$1001),"")</f>
        <v/>
      </c>
    </row>
    <row r="404" customFormat="false" ht="15" hidden="false" customHeight="false" outlineLevel="0" collapsed="false">
      <c r="J404" s="10" t="n">
        <f aca="false">IF($D404="",0,IF(AND(OR(Test!$B$4="Hepsi",$B404=Test!$B$4),OR(Test!$B$5="Hepsi",$C404=Test!$B$5)),1,0))</f>
        <v>0</v>
      </c>
      <c r="K404" s="10" t="n">
        <f aca="true">IF($J404=1,RAND(),-1)</f>
        <v>-1</v>
      </c>
      <c r="L404" s="10" t="str">
        <f aca="false">IF($J404=1,RANK($K404,$K$2:$K$1001),"")</f>
        <v/>
      </c>
    </row>
    <row r="405" customFormat="false" ht="15" hidden="false" customHeight="false" outlineLevel="0" collapsed="false">
      <c r="J405" s="10" t="n">
        <f aca="false">IF($D405="",0,IF(AND(OR(Test!$B$4="Hepsi",$B405=Test!$B$4),OR(Test!$B$5="Hepsi",$C405=Test!$B$5)),1,0))</f>
        <v>0</v>
      </c>
      <c r="K405" s="10" t="n">
        <f aca="true">IF($J405=1,RAND(),-1)</f>
        <v>-1</v>
      </c>
      <c r="L405" s="10" t="str">
        <f aca="false">IF($J405=1,RANK($K405,$K$2:$K$1001),"")</f>
        <v/>
      </c>
    </row>
    <row r="406" customFormat="false" ht="15" hidden="false" customHeight="false" outlineLevel="0" collapsed="false">
      <c r="J406" s="10" t="n">
        <f aca="false">IF($D406="",0,IF(AND(OR(Test!$B$4="Hepsi",$B406=Test!$B$4),OR(Test!$B$5="Hepsi",$C406=Test!$B$5)),1,0))</f>
        <v>0</v>
      </c>
      <c r="K406" s="10" t="n">
        <f aca="true">IF($J406=1,RAND(),-1)</f>
        <v>-1</v>
      </c>
      <c r="L406" s="10" t="str">
        <f aca="false">IF($J406=1,RANK($K406,$K$2:$K$1001),"")</f>
        <v/>
      </c>
    </row>
    <row r="407" customFormat="false" ht="15" hidden="false" customHeight="false" outlineLevel="0" collapsed="false">
      <c r="J407" s="10" t="n">
        <f aca="false">IF($D407="",0,IF(AND(OR(Test!$B$4="Hepsi",$B407=Test!$B$4),OR(Test!$B$5="Hepsi",$C407=Test!$B$5)),1,0))</f>
        <v>0</v>
      </c>
      <c r="K407" s="10" t="n">
        <f aca="true">IF($J407=1,RAND(),-1)</f>
        <v>-1</v>
      </c>
      <c r="L407" s="10" t="str">
        <f aca="false">IF($J407=1,RANK($K407,$K$2:$K$1001),"")</f>
        <v/>
      </c>
    </row>
    <row r="408" customFormat="false" ht="15" hidden="false" customHeight="false" outlineLevel="0" collapsed="false">
      <c r="J408" s="10" t="n">
        <f aca="false">IF($D408="",0,IF(AND(OR(Test!$B$4="Hepsi",$B408=Test!$B$4),OR(Test!$B$5="Hepsi",$C408=Test!$B$5)),1,0))</f>
        <v>0</v>
      </c>
      <c r="K408" s="10" t="n">
        <f aca="true">IF($J408=1,RAND(),-1)</f>
        <v>-1</v>
      </c>
      <c r="L408" s="10" t="str">
        <f aca="false">IF($J408=1,RANK($K408,$K$2:$K$1001),"")</f>
        <v/>
      </c>
    </row>
    <row r="409" customFormat="false" ht="15" hidden="false" customHeight="false" outlineLevel="0" collapsed="false">
      <c r="J409" s="10" t="n">
        <f aca="false">IF($D409="",0,IF(AND(OR(Test!$B$4="Hepsi",$B409=Test!$B$4),OR(Test!$B$5="Hepsi",$C409=Test!$B$5)),1,0))</f>
        <v>0</v>
      </c>
      <c r="K409" s="10" t="n">
        <f aca="true">IF($J409=1,RAND(),-1)</f>
        <v>-1</v>
      </c>
      <c r="L409" s="10" t="str">
        <f aca="false">IF($J409=1,RANK($K409,$K$2:$K$1001),"")</f>
        <v/>
      </c>
    </row>
    <row r="410" customFormat="false" ht="15" hidden="false" customHeight="false" outlineLevel="0" collapsed="false">
      <c r="J410" s="10" t="n">
        <f aca="false">IF($D410="",0,IF(AND(OR(Test!$B$4="Hepsi",$B410=Test!$B$4),OR(Test!$B$5="Hepsi",$C410=Test!$B$5)),1,0))</f>
        <v>0</v>
      </c>
      <c r="K410" s="10" t="n">
        <f aca="true">IF($J410=1,RAND(),-1)</f>
        <v>-1</v>
      </c>
      <c r="L410" s="10" t="str">
        <f aca="false">IF($J410=1,RANK($K410,$K$2:$K$1001),"")</f>
        <v/>
      </c>
    </row>
    <row r="411" customFormat="false" ht="15" hidden="false" customHeight="false" outlineLevel="0" collapsed="false">
      <c r="J411" s="10" t="n">
        <f aca="false">IF($D411="",0,IF(AND(OR(Test!$B$4="Hepsi",$B411=Test!$B$4),OR(Test!$B$5="Hepsi",$C411=Test!$B$5)),1,0))</f>
        <v>0</v>
      </c>
      <c r="K411" s="10" t="n">
        <f aca="true">IF($J411=1,RAND(),-1)</f>
        <v>-1</v>
      </c>
      <c r="L411" s="10" t="str">
        <f aca="false">IF($J411=1,RANK($K411,$K$2:$K$1001),"")</f>
        <v/>
      </c>
    </row>
    <row r="412" customFormat="false" ht="15" hidden="false" customHeight="false" outlineLevel="0" collapsed="false">
      <c r="J412" s="10" t="n">
        <f aca="false">IF($D412="",0,IF(AND(OR(Test!$B$4="Hepsi",$B412=Test!$B$4),OR(Test!$B$5="Hepsi",$C412=Test!$B$5)),1,0))</f>
        <v>0</v>
      </c>
      <c r="K412" s="10" t="n">
        <f aca="true">IF($J412=1,RAND(),-1)</f>
        <v>-1</v>
      </c>
      <c r="L412" s="10" t="str">
        <f aca="false">IF($J412=1,RANK($K412,$K$2:$K$1001),"")</f>
        <v/>
      </c>
    </row>
    <row r="413" customFormat="false" ht="15" hidden="false" customHeight="false" outlineLevel="0" collapsed="false">
      <c r="J413" s="10" t="n">
        <f aca="false">IF($D413="",0,IF(AND(OR(Test!$B$4="Hepsi",$B413=Test!$B$4),OR(Test!$B$5="Hepsi",$C413=Test!$B$5)),1,0))</f>
        <v>0</v>
      </c>
      <c r="K413" s="10" t="n">
        <f aca="true">IF($J413=1,RAND(),-1)</f>
        <v>-1</v>
      </c>
      <c r="L413" s="10" t="str">
        <f aca="false">IF($J413=1,RANK($K413,$K$2:$K$1001),"")</f>
        <v/>
      </c>
    </row>
    <row r="414" customFormat="false" ht="15" hidden="false" customHeight="false" outlineLevel="0" collapsed="false">
      <c r="J414" s="10" t="n">
        <f aca="false">IF($D414="",0,IF(AND(OR(Test!$B$4="Hepsi",$B414=Test!$B$4),OR(Test!$B$5="Hepsi",$C414=Test!$B$5)),1,0))</f>
        <v>0</v>
      </c>
      <c r="K414" s="10" t="n">
        <f aca="true">IF($J414=1,RAND(),-1)</f>
        <v>-1</v>
      </c>
      <c r="L414" s="10" t="str">
        <f aca="false">IF($J414=1,RANK($K414,$K$2:$K$1001),"")</f>
        <v/>
      </c>
    </row>
    <row r="415" customFormat="false" ht="15" hidden="false" customHeight="false" outlineLevel="0" collapsed="false">
      <c r="J415" s="10" t="n">
        <f aca="false">IF($D415="",0,IF(AND(OR(Test!$B$4="Hepsi",$B415=Test!$B$4),OR(Test!$B$5="Hepsi",$C415=Test!$B$5)),1,0))</f>
        <v>0</v>
      </c>
      <c r="K415" s="10" t="n">
        <f aca="true">IF($J415=1,RAND(),-1)</f>
        <v>-1</v>
      </c>
      <c r="L415" s="10" t="str">
        <f aca="false">IF($J415=1,RANK($K415,$K$2:$K$1001),"")</f>
        <v/>
      </c>
    </row>
    <row r="416" customFormat="false" ht="15" hidden="false" customHeight="false" outlineLevel="0" collapsed="false">
      <c r="J416" s="10" t="n">
        <f aca="false">IF($D416="",0,IF(AND(OR(Test!$B$4="Hepsi",$B416=Test!$B$4),OR(Test!$B$5="Hepsi",$C416=Test!$B$5)),1,0))</f>
        <v>0</v>
      </c>
      <c r="K416" s="10" t="n">
        <f aca="true">IF($J416=1,RAND(),-1)</f>
        <v>-1</v>
      </c>
      <c r="L416" s="10" t="str">
        <f aca="false">IF($J416=1,RANK($K416,$K$2:$K$1001),"")</f>
        <v/>
      </c>
    </row>
    <row r="417" customFormat="false" ht="15" hidden="false" customHeight="false" outlineLevel="0" collapsed="false">
      <c r="J417" s="10" t="n">
        <f aca="false">IF($D417="",0,IF(AND(OR(Test!$B$4="Hepsi",$B417=Test!$B$4),OR(Test!$B$5="Hepsi",$C417=Test!$B$5)),1,0))</f>
        <v>0</v>
      </c>
      <c r="K417" s="10" t="n">
        <f aca="true">IF($J417=1,RAND(),-1)</f>
        <v>-1</v>
      </c>
      <c r="L417" s="10" t="str">
        <f aca="false">IF($J417=1,RANK($K417,$K$2:$K$1001),"")</f>
        <v/>
      </c>
    </row>
    <row r="418" customFormat="false" ht="15" hidden="false" customHeight="false" outlineLevel="0" collapsed="false">
      <c r="J418" s="10" t="n">
        <f aca="false">IF($D418="",0,IF(AND(OR(Test!$B$4="Hepsi",$B418=Test!$B$4),OR(Test!$B$5="Hepsi",$C418=Test!$B$5)),1,0))</f>
        <v>0</v>
      </c>
      <c r="K418" s="10" t="n">
        <f aca="true">IF($J418=1,RAND(),-1)</f>
        <v>-1</v>
      </c>
      <c r="L418" s="10" t="str">
        <f aca="false">IF($J418=1,RANK($K418,$K$2:$K$1001),"")</f>
        <v/>
      </c>
    </row>
    <row r="419" customFormat="false" ht="15" hidden="false" customHeight="false" outlineLevel="0" collapsed="false">
      <c r="J419" s="10" t="n">
        <f aca="false">IF($D419="",0,IF(AND(OR(Test!$B$4="Hepsi",$B419=Test!$B$4),OR(Test!$B$5="Hepsi",$C419=Test!$B$5)),1,0))</f>
        <v>0</v>
      </c>
      <c r="K419" s="10" t="n">
        <f aca="true">IF($J419=1,RAND(),-1)</f>
        <v>-1</v>
      </c>
      <c r="L419" s="10" t="str">
        <f aca="false">IF($J419=1,RANK($K419,$K$2:$K$1001),"")</f>
        <v/>
      </c>
    </row>
    <row r="420" customFormat="false" ht="15" hidden="false" customHeight="false" outlineLevel="0" collapsed="false">
      <c r="J420" s="10" t="n">
        <f aca="false">IF($D420="",0,IF(AND(OR(Test!$B$4="Hepsi",$B420=Test!$B$4),OR(Test!$B$5="Hepsi",$C420=Test!$B$5)),1,0))</f>
        <v>0</v>
      </c>
      <c r="K420" s="10" t="n">
        <f aca="true">IF($J420=1,RAND(),-1)</f>
        <v>-1</v>
      </c>
      <c r="L420" s="10" t="str">
        <f aca="false">IF($J420=1,RANK($K420,$K$2:$K$1001),"")</f>
        <v/>
      </c>
    </row>
    <row r="421" customFormat="false" ht="15" hidden="false" customHeight="false" outlineLevel="0" collapsed="false">
      <c r="J421" s="10" t="n">
        <f aca="false">IF($D421="",0,IF(AND(OR(Test!$B$4="Hepsi",$B421=Test!$B$4),OR(Test!$B$5="Hepsi",$C421=Test!$B$5)),1,0))</f>
        <v>0</v>
      </c>
      <c r="K421" s="10" t="n">
        <f aca="true">IF($J421=1,RAND(),-1)</f>
        <v>-1</v>
      </c>
      <c r="L421" s="10" t="str">
        <f aca="false">IF($J421=1,RANK($K421,$K$2:$K$1001),"")</f>
        <v/>
      </c>
    </row>
    <row r="422" customFormat="false" ht="15" hidden="false" customHeight="false" outlineLevel="0" collapsed="false">
      <c r="J422" s="10" t="n">
        <f aca="false">IF($D422="",0,IF(AND(OR(Test!$B$4="Hepsi",$B422=Test!$B$4),OR(Test!$B$5="Hepsi",$C422=Test!$B$5)),1,0))</f>
        <v>0</v>
      </c>
      <c r="K422" s="10" t="n">
        <f aca="true">IF($J422=1,RAND(),-1)</f>
        <v>-1</v>
      </c>
      <c r="L422" s="10" t="str">
        <f aca="false">IF($J422=1,RANK($K422,$K$2:$K$1001),"")</f>
        <v/>
      </c>
    </row>
    <row r="423" customFormat="false" ht="15" hidden="false" customHeight="false" outlineLevel="0" collapsed="false">
      <c r="J423" s="10" t="n">
        <f aca="false">IF($D423="",0,IF(AND(OR(Test!$B$4="Hepsi",$B423=Test!$B$4),OR(Test!$B$5="Hepsi",$C423=Test!$B$5)),1,0))</f>
        <v>0</v>
      </c>
      <c r="K423" s="10" t="n">
        <f aca="true">IF($J423=1,RAND(),-1)</f>
        <v>-1</v>
      </c>
      <c r="L423" s="10" t="str">
        <f aca="false">IF($J423=1,RANK($K423,$K$2:$K$1001),"")</f>
        <v/>
      </c>
    </row>
    <row r="424" customFormat="false" ht="15" hidden="false" customHeight="false" outlineLevel="0" collapsed="false">
      <c r="J424" s="10" t="n">
        <f aca="false">IF($D424="",0,IF(AND(OR(Test!$B$4="Hepsi",$B424=Test!$B$4),OR(Test!$B$5="Hepsi",$C424=Test!$B$5)),1,0))</f>
        <v>0</v>
      </c>
      <c r="K424" s="10" t="n">
        <f aca="true">IF($J424=1,RAND(),-1)</f>
        <v>-1</v>
      </c>
      <c r="L424" s="10" t="str">
        <f aca="false">IF($J424=1,RANK($K424,$K$2:$K$1001),"")</f>
        <v/>
      </c>
    </row>
    <row r="425" customFormat="false" ht="15" hidden="false" customHeight="false" outlineLevel="0" collapsed="false">
      <c r="J425" s="10" t="n">
        <f aca="false">IF($D425="",0,IF(AND(OR(Test!$B$4="Hepsi",$B425=Test!$B$4),OR(Test!$B$5="Hepsi",$C425=Test!$B$5)),1,0))</f>
        <v>0</v>
      </c>
      <c r="K425" s="10" t="n">
        <f aca="true">IF($J425=1,RAND(),-1)</f>
        <v>-1</v>
      </c>
      <c r="L425" s="10" t="str">
        <f aca="false">IF($J425=1,RANK($K425,$K$2:$K$1001),"")</f>
        <v/>
      </c>
    </row>
    <row r="426" customFormat="false" ht="15" hidden="false" customHeight="false" outlineLevel="0" collapsed="false">
      <c r="J426" s="10" t="n">
        <f aca="false">IF($D426="",0,IF(AND(OR(Test!$B$4="Hepsi",$B426=Test!$B$4),OR(Test!$B$5="Hepsi",$C426=Test!$B$5)),1,0))</f>
        <v>0</v>
      </c>
      <c r="K426" s="10" t="n">
        <f aca="true">IF($J426=1,RAND(),-1)</f>
        <v>-1</v>
      </c>
      <c r="L426" s="10" t="str">
        <f aca="false">IF($J426=1,RANK($K426,$K$2:$K$1001),"")</f>
        <v/>
      </c>
    </row>
    <row r="427" customFormat="false" ht="15" hidden="false" customHeight="false" outlineLevel="0" collapsed="false">
      <c r="J427" s="10" t="n">
        <f aca="false">IF($D427="",0,IF(AND(OR(Test!$B$4="Hepsi",$B427=Test!$B$4),OR(Test!$B$5="Hepsi",$C427=Test!$B$5)),1,0))</f>
        <v>0</v>
      </c>
      <c r="K427" s="10" t="n">
        <f aca="true">IF($J427=1,RAND(),-1)</f>
        <v>-1</v>
      </c>
      <c r="L427" s="10" t="str">
        <f aca="false">IF($J427=1,RANK($K427,$K$2:$K$1001),"")</f>
        <v/>
      </c>
    </row>
    <row r="428" customFormat="false" ht="15" hidden="false" customHeight="false" outlineLevel="0" collapsed="false">
      <c r="J428" s="10" t="n">
        <f aca="false">IF($D428="",0,IF(AND(OR(Test!$B$4="Hepsi",$B428=Test!$B$4),OR(Test!$B$5="Hepsi",$C428=Test!$B$5)),1,0))</f>
        <v>0</v>
      </c>
      <c r="K428" s="10" t="n">
        <f aca="true">IF($J428=1,RAND(),-1)</f>
        <v>-1</v>
      </c>
      <c r="L428" s="10" t="str">
        <f aca="false">IF($J428=1,RANK($K428,$K$2:$K$1001),"")</f>
        <v/>
      </c>
    </row>
    <row r="429" customFormat="false" ht="15" hidden="false" customHeight="false" outlineLevel="0" collapsed="false">
      <c r="J429" s="10" t="n">
        <f aca="false">IF($D429="",0,IF(AND(OR(Test!$B$4="Hepsi",$B429=Test!$B$4),OR(Test!$B$5="Hepsi",$C429=Test!$B$5)),1,0))</f>
        <v>0</v>
      </c>
      <c r="K429" s="10" t="n">
        <f aca="true">IF($J429=1,RAND(),-1)</f>
        <v>-1</v>
      </c>
      <c r="L429" s="10" t="str">
        <f aca="false">IF($J429=1,RANK($K429,$K$2:$K$1001),"")</f>
        <v/>
      </c>
    </row>
    <row r="430" customFormat="false" ht="15" hidden="false" customHeight="false" outlineLevel="0" collapsed="false">
      <c r="J430" s="10" t="n">
        <f aca="false">IF($D430="",0,IF(AND(OR(Test!$B$4="Hepsi",$B430=Test!$B$4),OR(Test!$B$5="Hepsi",$C430=Test!$B$5)),1,0))</f>
        <v>0</v>
      </c>
      <c r="K430" s="10" t="n">
        <f aca="true">IF($J430=1,RAND(),-1)</f>
        <v>-1</v>
      </c>
      <c r="L430" s="10" t="str">
        <f aca="false">IF($J430=1,RANK($K430,$K$2:$K$1001),"")</f>
        <v/>
      </c>
    </row>
    <row r="431" customFormat="false" ht="15" hidden="false" customHeight="false" outlineLevel="0" collapsed="false">
      <c r="J431" s="10" t="n">
        <f aca="false">IF($D431="",0,IF(AND(OR(Test!$B$4="Hepsi",$B431=Test!$B$4),OR(Test!$B$5="Hepsi",$C431=Test!$B$5)),1,0))</f>
        <v>0</v>
      </c>
      <c r="K431" s="10" t="n">
        <f aca="true">IF($J431=1,RAND(),-1)</f>
        <v>-1</v>
      </c>
      <c r="L431" s="10" t="str">
        <f aca="false">IF($J431=1,RANK($K431,$K$2:$K$1001),"")</f>
        <v/>
      </c>
    </row>
    <row r="432" customFormat="false" ht="15" hidden="false" customHeight="false" outlineLevel="0" collapsed="false">
      <c r="J432" s="10" t="n">
        <f aca="false">IF($D432="",0,IF(AND(OR(Test!$B$4="Hepsi",$B432=Test!$B$4),OR(Test!$B$5="Hepsi",$C432=Test!$B$5)),1,0))</f>
        <v>0</v>
      </c>
      <c r="K432" s="10" t="n">
        <f aca="true">IF($J432=1,RAND(),-1)</f>
        <v>-1</v>
      </c>
      <c r="L432" s="10" t="str">
        <f aca="false">IF($J432=1,RANK($K432,$K$2:$K$1001),"")</f>
        <v/>
      </c>
    </row>
    <row r="433" customFormat="false" ht="15" hidden="false" customHeight="false" outlineLevel="0" collapsed="false">
      <c r="J433" s="10" t="n">
        <f aca="false">IF($D433="",0,IF(AND(OR(Test!$B$4="Hepsi",$B433=Test!$B$4),OR(Test!$B$5="Hepsi",$C433=Test!$B$5)),1,0))</f>
        <v>0</v>
      </c>
      <c r="K433" s="10" t="n">
        <f aca="true">IF($J433=1,RAND(),-1)</f>
        <v>-1</v>
      </c>
      <c r="L433" s="10" t="str">
        <f aca="false">IF($J433=1,RANK($K433,$K$2:$K$1001),"")</f>
        <v/>
      </c>
    </row>
    <row r="434" customFormat="false" ht="15" hidden="false" customHeight="false" outlineLevel="0" collapsed="false">
      <c r="J434" s="10" t="n">
        <f aca="false">IF($D434="",0,IF(AND(OR(Test!$B$4="Hepsi",$B434=Test!$B$4),OR(Test!$B$5="Hepsi",$C434=Test!$B$5)),1,0))</f>
        <v>0</v>
      </c>
      <c r="K434" s="10" t="n">
        <f aca="true">IF($J434=1,RAND(),-1)</f>
        <v>-1</v>
      </c>
      <c r="L434" s="10" t="str">
        <f aca="false">IF($J434=1,RANK($K434,$K$2:$K$1001),"")</f>
        <v/>
      </c>
    </row>
    <row r="435" customFormat="false" ht="15" hidden="false" customHeight="false" outlineLevel="0" collapsed="false">
      <c r="J435" s="10" t="n">
        <f aca="false">IF($D435="",0,IF(AND(OR(Test!$B$4="Hepsi",$B435=Test!$B$4),OR(Test!$B$5="Hepsi",$C435=Test!$B$5)),1,0))</f>
        <v>0</v>
      </c>
      <c r="K435" s="10" t="n">
        <f aca="true">IF($J435=1,RAND(),-1)</f>
        <v>-1</v>
      </c>
      <c r="L435" s="10" t="str">
        <f aca="false">IF($J435=1,RANK($K435,$K$2:$K$1001),"")</f>
        <v/>
      </c>
    </row>
    <row r="436" customFormat="false" ht="15" hidden="false" customHeight="false" outlineLevel="0" collapsed="false">
      <c r="J436" s="10" t="n">
        <f aca="false">IF($D436="",0,IF(AND(OR(Test!$B$4="Hepsi",$B436=Test!$B$4),OR(Test!$B$5="Hepsi",$C436=Test!$B$5)),1,0))</f>
        <v>0</v>
      </c>
      <c r="K436" s="10" t="n">
        <f aca="true">IF($J436=1,RAND(),-1)</f>
        <v>-1</v>
      </c>
      <c r="L436" s="10" t="str">
        <f aca="false">IF($J436=1,RANK($K436,$K$2:$K$1001),"")</f>
        <v/>
      </c>
    </row>
    <row r="437" customFormat="false" ht="15" hidden="false" customHeight="false" outlineLevel="0" collapsed="false">
      <c r="J437" s="10" t="n">
        <f aca="false">IF($D437="",0,IF(AND(OR(Test!$B$4="Hepsi",$B437=Test!$B$4),OR(Test!$B$5="Hepsi",$C437=Test!$B$5)),1,0))</f>
        <v>0</v>
      </c>
      <c r="K437" s="10" t="n">
        <f aca="true">IF($J437=1,RAND(),-1)</f>
        <v>-1</v>
      </c>
      <c r="L437" s="10" t="str">
        <f aca="false">IF($J437=1,RANK($K437,$K$2:$K$1001),"")</f>
        <v/>
      </c>
    </row>
    <row r="438" customFormat="false" ht="15" hidden="false" customHeight="false" outlineLevel="0" collapsed="false">
      <c r="J438" s="10" t="n">
        <f aca="false">IF($D438="",0,IF(AND(OR(Test!$B$4="Hepsi",$B438=Test!$B$4),OR(Test!$B$5="Hepsi",$C438=Test!$B$5)),1,0))</f>
        <v>0</v>
      </c>
      <c r="K438" s="10" t="n">
        <f aca="true">IF($J438=1,RAND(),-1)</f>
        <v>-1</v>
      </c>
      <c r="L438" s="10" t="str">
        <f aca="false">IF($J438=1,RANK($K438,$K$2:$K$1001),"")</f>
        <v/>
      </c>
    </row>
    <row r="439" customFormat="false" ht="15" hidden="false" customHeight="false" outlineLevel="0" collapsed="false">
      <c r="J439" s="10" t="n">
        <f aca="false">IF($D439="",0,IF(AND(OR(Test!$B$4="Hepsi",$B439=Test!$B$4),OR(Test!$B$5="Hepsi",$C439=Test!$B$5)),1,0))</f>
        <v>0</v>
      </c>
      <c r="K439" s="10" t="n">
        <f aca="true">IF($J439=1,RAND(),-1)</f>
        <v>-1</v>
      </c>
      <c r="L439" s="10" t="str">
        <f aca="false">IF($J439=1,RANK($K439,$K$2:$K$1001),"")</f>
        <v/>
      </c>
    </row>
    <row r="440" customFormat="false" ht="15" hidden="false" customHeight="false" outlineLevel="0" collapsed="false">
      <c r="J440" s="10" t="n">
        <f aca="false">IF($D440="",0,IF(AND(OR(Test!$B$4="Hepsi",$B440=Test!$B$4),OR(Test!$B$5="Hepsi",$C440=Test!$B$5)),1,0))</f>
        <v>0</v>
      </c>
      <c r="K440" s="10" t="n">
        <f aca="true">IF($J440=1,RAND(),-1)</f>
        <v>-1</v>
      </c>
      <c r="L440" s="10" t="str">
        <f aca="false">IF($J440=1,RANK($K440,$K$2:$K$1001),"")</f>
        <v/>
      </c>
    </row>
    <row r="441" customFormat="false" ht="15" hidden="false" customHeight="false" outlineLevel="0" collapsed="false">
      <c r="J441" s="10" t="n">
        <f aca="false">IF($D441="",0,IF(AND(OR(Test!$B$4="Hepsi",$B441=Test!$B$4),OR(Test!$B$5="Hepsi",$C441=Test!$B$5)),1,0))</f>
        <v>0</v>
      </c>
      <c r="K441" s="10" t="n">
        <f aca="true">IF($J441=1,RAND(),-1)</f>
        <v>-1</v>
      </c>
      <c r="L441" s="10" t="str">
        <f aca="false">IF($J441=1,RANK($K441,$K$2:$K$1001),"")</f>
        <v/>
      </c>
    </row>
    <row r="442" customFormat="false" ht="15" hidden="false" customHeight="false" outlineLevel="0" collapsed="false">
      <c r="J442" s="10" t="n">
        <f aca="false">IF($D442="",0,IF(AND(OR(Test!$B$4="Hepsi",$B442=Test!$B$4),OR(Test!$B$5="Hepsi",$C442=Test!$B$5)),1,0))</f>
        <v>0</v>
      </c>
      <c r="K442" s="10" t="n">
        <f aca="true">IF($J442=1,RAND(),-1)</f>
        <v>-1</v>
      </c>
      <c r="L442" s="10" t="str">
        <f aca="false">IF($J442=1,RANK($K442,$K$2:$K$1001),"")</f>
        <v/>
      </c>
    </row>
    <row r="443" customFormat="false" ht="15" hidden="false" customHeight="false" outlineLevel="0" collapsed="false">
      <c r="J443" s="10" t="n">
        <f aca="false">IF($D443="",0,IF(AND(OR(Test!$B$4="Hepsi",$B443=Test!$B$4),OR(Test!$B$5="Hepsi",$C443=Test!$B$5)),1,0))</f>
        <v>0</v>
      </c>
      <c r="K443" s="10" t="n">
        <f aca="true">IF($J443=1,RAND(),-1)</f>
        <v>-1</v>
      </c>
      <c r="L443" s="10" t="str">
        <f aca="false">IF($J443=1,RANK($K443,$K$2:$K$1001),"")</f>
        <v/>
      </c>
    </row>
    <row r="444" customFormat="false" ht="15" hidden="false" customHeight="false" outlineLevel="0" collapsed="false">
      <c r="J444" s="10" t="n">
        <f aca="false">IF($D444="",0,IF(AND(OR(Test!$B$4="Hepsi",$B444=Test!$B$4),OR(Test!$B$5="Hepsi",$C444=Test!$B$5)),1,0))</f>
        <v>0</v>
      </c>
      <c r="K444" s="10" t="n">
        <f aca="true">IF($J444=1,RAND(),-1)</f>
        <v>-1</v>
      </c>
      <c r="L444" s="10" t="str">
        <f aca="false">IF($J444=1,RANK($K444,$K$2:$K$1001),"")</f>
        <v/>
      </c>
    </row>
    <row r="445" customFormat="false" ht="15" hidden="false" customHeight="false" outlineLevel="0" collapsed="false">
      <c r="J445" s="10" t="n">
        <f aca="false">IF($D445="",0,IF(AND(OR(Test!$B$4="Hepsi",$B445=Test!$B$4),OR(Test!$B$5="Hepsi",$C445=Test!$B$5)),1,0))</f>
        <v>0</v>
      </c>
      <c r="K445" s="10" t="n">
        <f aca="true">IF($J445=1,RAND(),-1)</f>
        <v>-1</v>
      </c>
      <c r="L445" s="10" t="str">
        <f aca="false">IF($J445=1,RANK($K445,$K$2:$K$1001),"")</f>
        <v/>
      </c>
    </row>
    <row r="446" customFormat="false" ht="15" hidden="false" customHeight="false" outlineLevel="0" collapsed="false">
      <c r="J446" s="10" t="n">
        <f aca="false">IF($D446="",0,IF(AND(OR(Test!$B$4="Hepsi",$B446=Test!$B$4),OR(Test!$B$5="Hepsi",$C446=Test!$B$5)),1,0))</f>
        <v>0</v>
      </c>
      <c r="K446" s="10" t="n">
        <f aca="true">IF($J446=1,RAND(),-1)</f>
        <v>-1</v>
      </c>
      <c r="L446" s="10" t="str">
        <f aca="false">IF($J446=1,RANK($K446,$K$2:$K$1001),"")</f>
        <v/>
      </c>
    </row>
    <row r="447" customFormat="false" ht="15" hidden="false" customHeight="false" outlineLevel="0" collapsed="false">
      <c r="J447" s="10" t="n">
        <f aca="false">IF($D447="",0,IF(AND(OR(Test!$B$4="Hepsi",$B447=Test!$B$4),OR(Test!$B$5="Hepsi",$C447=Test!$B$5)),1,0))</f>
        <v>0</v>
      </c>
      <c r="K447" s="10" t="n">
        <f aca="true">IF($J447=1,RAND(),-1)</f>
        <v>-1</v>
      </c>
      <c r="L447" s="10" t="str">
        <f aca="false">IF($J447=1,RANK($K447,$K$2:$K$1001),"")</f>
        <v/>
      </c>
    </row>
    <row r="448" customFormat="false" ht="15" hidden="false" customHeight="false" outlineLevel="0" collapsed="false">
      <c r="J448" s="10" t="n">
        <f aca="false">IF($D448="",0,IF(AND(OR(Test!$B$4="Hepsi",$B448=Test!$B$4),OR(Test!$B$5="Hepsi",$C448=Test!$B$5)),1,0))</f>
        <v>0</v>
      </c>
      <c r="K448" s="10" t="n">
        <f aca="true">IF($J448=1,RAND(),-1)</f>
        <v>-1</v>
      </c>
      <c r="L448" s="10" t="str">
        <f aca="false">IF($J448=1,RANK($K448,$K$2:$K$1001),"")</f>
        <v/>
      </c>
    </row>
    <row r="449" customFormat="false" ht="15" hidden="false" customHeight="false" outlineLevel="0" collapsed="false">
      <c r="J449" s="10" t="n">
        <f aca="false">IF($D449="",0,IF(AND(OR(Test!$B$4="Hepsi",$B449=Test!$B$4),OR(Test!$B$5="Hepsi",$C449=Test!$B$5)),1,0))</f>
        <v>0</v>
      </c>
      <c r="K449" s="10" t="n">
        <f aca="true">IF($J449=1,RAND(),-1)</f>
        <v>-1</v>
      </c>
      <c r="L449" s="10" t="str">
        <f aca="false">IF($J449=1,RANK($K449,$K$2:$K$1001),"")</f>
        <v/>
      </c>
    </row>
    <row r="450" customFormat="false" ht="15" hidden="false" customHeight="false" outlineLevel="0" collapsed="false">
      <c r="J450" s="10" t="n">
        <f aca="false">IF($D450="",0,IF(AND(OR(Test!$B$4="Hepsi",$B450=Test!$B$4),OR(Test!$B$5="Hepsi",$C450=Test!$B$5)),1,0))</f>
        <v>0</v>
      </c>
      <c r="K450" s="10" t="n">
        <f aca="true">IF($J450=1,RAND(),-1)</f>
        <v>-1</v>
      </c>
      <c r="L450" s="10" t="str">
        <f aca="false">IF($J450=1,RANK($K450,$K$2:$K$1001),"")</f>
        <v/>
      </c>
    </row>
    <row r="451" customFormat="false" ht="15" hidden="false" customHeight="false" outlineLevel="0" collapsed="false">
      <c r="J451" s="10" t="n">
        <f aca="false">IF($D451="",0,IF(AND(OR(Test!$B$4="Hepsi",$B451=Test!$B$4),OR(Test!$B$5="Hepsi",$C451=Test!$B$5)),1,0))</f>
        <v>0</v>
      </c>
      <c r="K451" s="10" t="n">
        <f aca="true">IF($J451=1,RAND(),-1)</f>
        <v>-1</v>
      </c>
      <c r="L451" s="10" t="str">
        <f aca="false">IF($J451=1,RANK($K451,$K$2:$K$1001),"")</f>
        <v/>
      </c>
    </row>
    <row r="452" customFormat="false" ht="15" hidden="false" customHeight="false" outlineLevel="0" collapsed="false">
      <c r="J452" s="10" t="n">
        <f aca="false">IF($D452="",0,IF(AND(OR(Test!$B$4="Hepsi",$B452=Test!$B$4),OR(Test!$B$5="Hepsi",$C452=Test!$B$5)),1,0))</f>
        <v>0</v>
      </c>
      <c r="K452" s="10" t="n">
        <f aca="true">IF($J452=1,RAND(),-1)</f>
        <v>-1</v>
      </c>
      <c r="L452" s="10" t="str">
        <f aca="false">IF($J452=1,RANK($K452,$K$2:$K$1001),"")</f>
        <v/>
      </c>
    </row>
    <row r="453" customFormat="false" ht="15" hidden="false" customHeight="false" outlineLevel="0" collapsed="false">
      <c r="J453" s="10" t="n">
        <f aca="false">IF($D453="",0,IF(AND(OR(Test!$B$4="Hepsi",$B453=Test!$B$4),OR(Test!$B$5="Hepsi",$C453=Test!$B$5)),1,0))</f>
        <v>0</v>
      </c>
      <c r="K453" s="10" t="n">
        <f aca="true">IF($J453=1,RAND(),-1)</f>
        <v>-1</v>
      </c>
      <c r="L453" s="10" t="str">
        <f aca="false">IF($J453=1,RANK($K453,$K$2:$K$1001),"")</f>
        <v/>
      </c>
    </row>
    <row r="454" customFormat="false" ht="15" hidden="false" customHeight="false" outlineLevel="0" collapsed="false">
      <c r="J454" s="10" t="n">
        <f aca="false">IF($D454="",0,IF(AND(OR(Test!$B$4="Hepsi",$B454=Test!$B$4),OR(Test!$B$5="Hepsi",$C454=Test!$B$5)),1,0))</f>
        <v>0</v>
      </c>
      <c r="K454" s="10" t="n">
        <f aca="true">IF($J454=1,RAND(),-1)</f>
        <v>-1</v>
      </c>
      <c r="L454" s="10" t="str">
        <f aca="false">IF($J454=1,RANK($K454,$K$2:$K$1001),"")</f>
        <v/>
      </c>
    </row>
    <row r="455" customFormat="false" ht="15" hidden="false" customHeight="false" outlineLevel="0" collapsed="false">
      <c r="J455" s="10" t="n">
        <f aca="false">IF($D455="",0,IF(AND(OR(Test!$B$4="Hepsi",$B455=Test!$B$4),OR(Test!$B$5="Hepsi",$C455=Test!$B$5)),1,0))</f>
        <v>0</v>
      </c>
      <c r="K455" s="10" t="n">
        <f aca="true">IF($J455=1,RAND(),-1)</f>
        <v>-1</v>
      </c>
      <c r="L455" s="10" t="str">
        <f aca="false">IF($J455=1,RANK($K455,$K$2:$K$1001),"")</f>
        <v/>
      </c>
    </row>
    <row r="456" customFormat="false" ht="15" hidden="false" customHeight="false" outlineLevel="0" collapsed="false">
      <c r="J456" s="10" t="n">
        <f aca="false">IF($D456="",0,IF(AND(OR(Test!$B$4="Hepsi",$B456=Test!$B$4),OR(Test!$B$5="Hepsi",$C456=Test!$B$5)),1,0))</f>
        <v>0</v>
      </c>
      <c r="K456" s="10" t="n">
        <f aca="true">IF($J456=1,RAND(),-1)</f>
        <v>-1</v>
      </c>
      <c r="L456" s="10" t="str">
        <f aca="false">IF($J456=1,RANK($K456,$K$2:$K$1001),"")</f>
        <v/>
      </c>
    </row>
    <row r="457" customFormat="false" ht="15" hidden="false" customHeight="false" outlineLevel="0" collapsed="false">
      <c r="J457" s="10" t="n">
        <f aca="false">IF($D457="",0,IF(AND(OR(Test!$B$4="Hepsi",$B457=Test!$B$4),OR(Test!$B$5="Hepsi",$C457=Test!$B$5)),1,0))</f>
        <v>0</v>
      </c>
      <c r="K457" s="10" t="n">
        <f aca="true">IF($J457=1,RAND(),-1)</f>
        <v>-1</v>
      </c>
      <c r="L457" s="10" t="str">
        <f aca="false">IF($J457=1,RANK($K457,$K$2:$K$1001),"")</f>
        <v/>
      </c>
    </row>
    <row r="458" customFormat="false" ht="15" hidden="false" customHeight="false" outlineLevel="0" collapsed="false">
      <c r="J458" s="10" t="n">
        <f aca="false">IF($D458="",0,IF(AND(OR(Test!$B$4="Hepsi",$B458=Test!$B$4),OR(Test!$B$5="Hepsi",$C458=Test!$B$5)),1,0))</f>
        <v>0</v>
      </c>
      <c r="K458" s="10" t="n">
        <f aca="true">IF($J458=1,RAND(),-1)</f>
        <v>-1</v>
      </c>
      <c r="L458" s="10" t="str">
        <f aca="false">IF($J458=1,RANK($K458,$K$2:$K$1001),"")</f>
        <v/>
      </c>
    </row>
    <row r="459" customFormat="false" ht="15" hidden="false" customHeight="false" outlineLevel="0" collapsed="false">
      <c r="J459" s="10" t="n">
        <f aca="false">IF($D459="",0,IF(AND(OR(Test!$B$4="Hepsi",$B459=Test!$B$4),OR(Test!$B$5="Hepsi",$C459=Test!$B$5)),1,0))</f>
        <v>0</v>
      </c>
      <c r="K459" s="10" t="n">
        <f aca="true">IF($J459=1,RAND(),-1)</f>
        <v>-1</v>
      </c>
      <c r="L459" s="10" t="str">
        <f aca="false">IF($J459=1,RANK($K459,$K$2:$K$1001),"")</f>
        <v/>
      </c>
    </row>
    <row r="460" customFormat="false" ht="15" hidden="false" customHeight="false" outlineLevel="0" collapsed="false">
      <c r="J460" s="10" t="n">
        <f aca="false">IF($D460="",0,IF(AND(OR(Test!$B$4="Hepsi",$B460=Test!$B$4),OR(Test!$B$5="Hepsi",$C460=Test!$B$5)),1,0))</f>
        <v>0</v>
      </c>
      <c r="K460" s="10" t="n">
        <f aca="true">IF($J460=1,RAND(),-1)</f>
        <v>-1</v>
      </c>
      <c r="L460" s="10" t="str">
        <f aca="false">IF($J460=1,RANK($K460,$K$2:$K$1001),"")</f>
        <v/>
      </c>
    </row>
    <row r="461" customFormat="false" ht="15" hidden="false" customHeight="false" outlineLevel="0" collapsed="false">
      <c r="J461" s="10" t="n">
        <f aca="false">IF($D461="",0,IF(AND(OR(Test!$B$4="Hepsi",$B461=Test!$B$4),OR(Test!$B$5="Hepsi",$C461=Test!$B$5)),1,0))</f>
        <v>0</v>
      </c>
      <c r="K461" s="10" t="n">
        <f aca="true">IF($J461=1,RAND(),-1)</f>
        <v>-1</v>
      </c>
      <c r="L461" s="10" t="str">
        <f aca="false">IF($J461=1,RANK($K461,$K$2:$K$1001),"")</f>
        <v/>
      </c>
    </row>
    <row r="462" customFormat="false" ht="15" hidden="false" customHeight="false" outlineLevel="0" collapsed="false">
      <c r="J462" s="10" t="n">
        <f aca="false">IF($D462="",0,IF(AND(OR(Test!$B$4="Hepsi",$B462=Test!$B$4),OR(Test!$B$5="Hepsi",$C462=Test!$B$5)),1,0))</f>
        <v>0</v>
      </c>
      <c r="K462" s="10" t="n">
        <f aca="true">IF($J462=1,RAND(),-1)</f>
        <v>-1</v>
      </c>
      <c r="L462" s="10" t="str">
        <f aca="false">IF($J462=1,RANK($K462,$K$2:$K$1001),"")</f>
        <v/>
      </c>
    </row>
    <row r="463" customFormat="false" ht="15" hidden="false" customHeight="false" outlineLevel="0" collapsed="false">
      <c r="J463" s="10" t="n">
        <f aca="false">IF($D463="",0,IF(AND(OR(Test!$B$4="Hepsi",$B463=Test!$B$4),OR(Test!$B$5="Hepsi",$C463=Test!$B$5)),1,0))</f>
        <v>0</v>
      </c>
      <c r="K463" s="10" t="n">
        <f aca="true">IF($J463=1,RAND(),-1)</f>
        <v>-1</v>
      </c>
      <c r="L463" s="10" t="str">
        <f aca="false">IF($J463=1,RANK($K463,$K$2:$K$1001),"")</f>
        <v/>
      </c>
    </row>
    <row r="464" customFormat="false" ht="15" hidden="false" customHeight="false" outlineLevel="0" collapsed="false">
      <c r="J464" s="10" t="n">
        <f aca="false">IF($D464="",0,IF(AND(OR(Test!$B$4="Hepsi",$B464=Test!$B$4),OR(Test!$B$5="Hepsi",$C464=Test!$B$5)),1,0))</f>
        <v>0</v>
      </c>
      <c r="K464" s="10" t="n">
        <f aca="true">IF($J464=1,RAND(),-1)</f>
        <v>-1</v>
      </c>
      <c r="L464" s="10" t="str">
        <f aca="false">IF($J464=1,RANK($K464,$K$2:$K$1001),"")</f>
        <v/>
      </c>
    </row>
    <row r="465" customFormat="false" ht="15" hidden="false" customHeight="false" outlineLevel="0" collapsed="false">
      <c r="J465" s="10" t="n">
        <f aca="false">IF($D465="",0,IF(AND(OR(Test!$B$4="Hepsi",$B465=Test!$B$4),OR(Test!$B$5="Hepsi",$C465=Test!$B$5)),1,0))</f>
        <v>0</v>
      </c>
      <c r="K465" s="10" t="n">
        <f aca="true">IF($J465=1,RAND(),-1)</f>
        <v>-1</v>
      </c>
      <c r="L465" s="10" t="str">
        <f aca="false">IF($J465=1,RANK($K465,$K$2:$K$1001),"")</f>
        <v/>
      </c>
    </row>
    <row r="466" customFormat="false" ht="15" hidden="false" customHeight="false" outlineLevel="0" collapsed="false">
      <c r="J466" s="10" t="n">
        <f aca="false">IF($D466="",0,IF(AND(OR(Test!$B$4="Hepsi",$B466=Test!$B$4),OR(Test!$B$5="Hepsi",$C466=Test!$B$5)),1,0))</f>
        <v>0</v>
      </c>
      <c r="K466" s="10" t="n">
        <f aca="true">IF($J466=1,RAND(),-1)</f>
        <v>-1</v>
      </c>
      <c r="L466" s="10" t="str">
        <f aca="false">IF($J466=1,RANK($K466,$K$2:$K$1001),"")</f>
        <v/>
      </c>
    </row>
    <row r="467" customFormat="false" ht="15" hidden="false" customHeight="false" outlineLevel="0" collapsed="false">
      <c r="J467" s="10" t="n">
        <f aca="false">IF($D467="",0,IF(AND(OR(Test!$B$4="Hepsi",$B467=Test!$B$4),OR(Test!$B$5="Hepsi",$C467=Test!$B$5)),1,0))</f>
        <v>0</v>
      </c>
      <c r="K467" s="10" t="n">
        <f aca="true">IF($J467=1,RAND(),-1)</f>
        <v>-1</v>
      </c>
      <c r="L467" s="10" t="str">
        <f aca="false">IF($J467=1,RANK($K467,$K$2:$K$1001),"")</f>
        <v/>
      </c>
    </row>
    <row r="468" customFormat="false" ht="15" hidden="false" customHeight="false" outlineLevel="0" collapsed="false">
      <c r="J468" s="10" t="n">
        <f aca="false">IF($D468="",0,IF(AND(OR(Test!$B$4="Hepsi",$B468=Test!$B$4),OR(Test!$B$5="Hepsi",$C468=Test!$B$5)),1,0))</f>
        <v>0</v>
      </c>
      <c r="K468" s="10" t="n">
        <f aca="true">IF($J468=1,RAND(),-1)</f>
        <v>-1</v>
      </c>
      <c r="L468" s="10" t="str">
        <f aca="false">IF($J468=1,RANK($K468,$K$2:$K$1001),"")</f>
        <v/>
      </c>
    </row>
    <row r="469" customFormat="false" ht="15" hidden="false" customHeight="false" outlineLevel="0" collapsed="false">
      <c r="J469" s="10" t="n">
        <f aca="false">IF($D469="",0,IF(AND(OR(Test!$B$4="Hepsi",$B469=Test!$B$4),OR(Test!$B$5="Hepsi",$C469=Test!$B$5)),1,0))</f>
        <v>0</v>
      </c>
      <c r="K469" s="10" t="n">
        <f aca="true">IF($J469=1,RAND(),-1)</f>
        <v>-1</v>
      </c>
      <c r="L469" s="10" t="str">
        <f aca="false">IF($J469=1,RANK($K469,$K$2:$K$1001),"")</f>
        <v/>
      </c>
    </row>
    <row r="470" customFormat="false" ht="15" hidden="false" customHeight="false" outlineLevel="0" collapsed="false">
      <c r="J470" s="10" t="n">
        <f aca="false">IF($D470="",0,IF(AND(OR(Test!$B$4="Hepsi",$B470=Test!$B$4),OR(Test!$B$5="Hepsi",$C470=Test!$B$5)),1,0))</f>
        <v>0</v>
      </c>
      <c r="K470" s="10" t="n">
        <f aca="true">IF($J470=1,RAND(),-1)</f>
        <v>-1</v>
      </c>
      <c r="L470" s="10" t="str">
        <f aca="false">IF($J470=1,RANK($K470,$K$2:$K$1001),"")</f>
        <v/>
      </c>
    </row>
    <row r="471" customFormat="false" ht="15" hidden="false" customHeight="false" outlineLevel="0" collapsed="false">
      <c r="J471" s="10" t="n">
        <f aca="false">IF($D471="",0,IF(AND(OR(Test!$B$4="Hepsi",$B471=Test!$B$4),OR(Test!$B$5="Hepsi",$C471=Test!$B$5)),1,0))</f>
        <v>0</v>
      </c>
      <c r="K471" s="10" t="n">
        <f aca="true">IF($J471=1,RAND(),-1)</f>
        <v>-1</v>
      </c>
      <c r="L471" s="10" t="str">
        <f aca="false">IF($J471=1,RANK($K471,$K$2:$K$1001),"")</f>
        <v/>
      </c>
    </row>
    <row r="472" customFormat="false" ht="15" hidden="false" customHeight="false" outlineLevel="0" collapsed="false">
      <c r="J472" s="10" t="n">
        <f aca="false">IF($D472="",0,IF(AND(OR(Test!$B$4="Hepsi",$B472=Test!$B$4),OR(Test!$B$5="Hepsi",$C472=Test!$B$5)),1,0))</f>
        <v>0</v>
      </c>
      <c r="K472" s="10" t="n">
        <f aca="true">IF($J472=1,RAND(),-1)</f>
        <v>-1</v>
      </c>
      <c r="L472" s="10" t="str">
        <f aca="false">IF($J472=1,RANK($K472,$K$2:$K$1001),"")</f>
        <v/>
      </c>
    </row>
    <row r="473" customFormat="false" ht="15" hidden="false" customHeight="false" outlineLevel="0" collapsed="false">
      <c r="J473" s="10" t="n">
        <f aca="false">IF($D473="",0,IF(AND(OR(Test!$B$4="Hepsi",$B473=Test!$B$4),OR(Test!$B$5="Hepsi",$C473=Test!$B$5)),1,0))</f>
        <v>0</v>
      </c>
      <c r="K473" s="10" t="n">
        <f aca="true">IF($J473=1,RAND(),-1)</f>
        <v>-1</v>
      </c>
      <c r="L473" s="10" t="str">
        <f aca="false">IF($J473=1,RANK($K473,$K$2:$K$1001),"")</f>
        <v/>
      </c>
    </row>
    <row r="474" customFormat="false" ht="15" hidden="false" customHeight="false" outlineLevel="0" collapsed="false">
      <c r="J474" s="10" t="n">
        <f aca="false">IF($D474="",0,IF(AND(OR(Test!$B$4="Hepsi",$B474=Test!$B$4),OR(Test!$B$5="Hepsi",$C474=Test!$B$5)),1,0))</f>
        <v>0</v>
      </c>
      <c r="K474" s="10" t="n">
        <f aca="true">IF($J474=1,RAND(),-1)</f>
        <v>-1</v>
      </c>
      <c r="L474" s="10" t="str">
        <f aca="false">IF($J474=1,RANK($K474,$K$2:$K$1001),"")</f>
        <v/>
      </c>
    </row>
    <row r="475" customFormat="false" ht="15" hidden="false" customHeight="false" outlineLevel="0" collapsed="false">
      <c r="J475" s="10" t="n">
        <f aca="false">IF($D475="",0,IF(AND(OR(Test!$B$4="Hepsi",$B475=Test!$B$4),OR(Test!$B$5="Hepsi",$C475=Test!$B$5)),1,0))</f>
        <v>0</v>
      </c>
      <c r="K475" s="10" t="n">
        <f aca="true">IF($J475=1,RAND(),-1)</f>
        <v>-1</v>
      </c>
      <c r="L475" s="10" t="str">
        <f aca="false">IF($J475=1,RANK($K475,$K$2:$K$1001),"")</f>
        <v/>
      </c>
    </row>
    <row r="476" customFormat="false" ht="15" hidden="false" customHeight="false" outlineLevel="0" collapsed="false">
      <c r="J476" s="10" t="n">
        <f aca="false">IF($D476="",0,IF(AND(OR(Test!$B$4="Hepsi",$B476=Test!$B$4),OR(Test!$B$5="Hepsi",$C476=Test!$B$5)),1,0))</f>
        <v>0</v>
      </c>
      <c r="K476" s="10" t="n">
        <f aca="true">IF($J476=1,RAND(),-1)</f>
        <v>-1</v>
      </c>
      <c r="L476" s="10" t="str">
        <f aca="false">IF($J476=1,RANK($K476,$K$2:$K$1001),"")</f>
        <v/>
      </c>
    </row>
    <row r="477" customFormat="false" ht="15" hidden="false" customHeight="false" outlineLevel="0" collapsed="false">
      <c r="J477" s="10" t="n">
        <f aca="false">IF($D477="",0,IF(AND(OR(Test!$B$4="Hepsi",$B477=Test!$B$4),OR(Test!$B$5="Hepsi",$C477=Test!$B$5)),1,0))</f>
        <v>0</v>
      </c>
      <c r="K477" s="10" t="n">
        <f aca="true">IF($J477=1,RAND(),-1)</f>
        <v>-1</v>
      </c>
      <c r="L477" s="10" t="str">
        <f aca="false">IF($J477=1,RANK($K477,$K$2:$K$1001),"")</f>
        <v/>
      </c>
    </row>
    <row r="478" customFormat="false" ht="15" hidden="false" customHeight="false" outlineLevel="0" collapsed="false">
      <c r="J478" s="10" t="n">
        <f aca="false">IF($D478="",0,IF(AND(OR(Test!$B$4="Hepsi",$B478=Test!$B$4),OR(Test!$B$5="Hepsi",$C478=Test!$B$5)),1,0))</f>
        <v>0</v>
      </c>
      <c r="K478" s="10" t="n">
        <f aca="true">IF($J478=1,RAND(),-1)</f>
        <v>-1</v>
      </c>
      <c r="L478" s="10" t="str">
        <f aca="false">IF($J478=1,RANK($K478,$K$2:$K$1001),"")</f>
        <v/>
      </c>
    </row>
    <row r="479" customFormat="false" ht="15" hidden="false" customHeight="false" outlineLevel="0" collapsed="false">
      <c r="J479" s="10" t="n">
        <f aca="false">IF($D479="",0,IF(AND(OR(Test!$B$4="Hepsi",$B479=Test!$B$4),OR(Test!$B$5="Hepsi",$C479=Test!$B$5)),1,0))</f>
        <v>0</v>
      </c>
      <c r="K479" s="10" t="n">
        <f aca="true">IF($J479=1,RAND(),-1)</f>
        <v>-1</v>
      </c>
      <c r="L479" s="10" t="str">
        <f aca="false">IF($J479=1,RANK($K479,$K$2:$K$1001),"")</f>
        <v/>
      </c>
    </row>
    <row r="480" customFormat="false" ht="15" hidden="false" customHeight="false" outlineLevel="0" collapsed="false">
      <c r="J480" s="10" t="n">
        <f aca="false">IF($D480="",0,IF(AND(OR(Test!$B$4="Hepsi",$B480=Test!$B$4),OR(Test!$B$5="Hepsi",$C480=Test!$B$5)),1,0))</f>
        <v>0</v>
      </c>
      <c r="K480" s="10" t="n">
        <f aca="true">IF($J480=1,RAND(),-1)</f>
        <v>-1</v>
      </c>
      <c r="L480" s="10" t="str">
        <f aca="false">IF($J480=1,RANK($K480,$K$2:$K$1001),"")</f>
        <v/>
      </c>
    </row>
    <row r="481" customFormat="false" ht="15" hidden="false" customHeight="false" outlineLevel="0" collapsed="false">
      <c r="J481" s="10" t="n">
        <f aca="false">IF($D481="",0,IF(AND(OR(Test!$B$4="Hepsi",$B481=Test!$B$4),OR(Test!$B$5="Hepsi",$C481=Test!$B$5)),1,0))</f>
        <v>0</v>
      </c>
      <c r="K481" s="10" t="n">
        <f aca="true">IF($J481=1,RAND(),-1)</f>
        <v>-1</v>
      </c>
      <c r="L481" s="10" t="str">
        <f aca="false">IF($J481=1,RANK($K481,$K$2:$K$1001),"")</f>
        <v/>
      </c>
    </row>
    <row r="482" customFormat="false" ht="15" hidden="false" customHeight="false" outlineLevel="0" collapsed="false">
      <c r="J482" s="10" t="n">
        <f aca="false">IF($D482="",0,IF(AND(OR(Test!$B$4="Hepsi",$B482=Test!$B$4),OR(Test!$B$5="Hepsi",$C482=Test!$B$5)),1,0))</f>
        <v>0</v>
      </c>
      <c r="K482" s="10" t="n">
        <f aca="true">IF($J482=1,RAND(),-1)</f>
        <v>-1</v>
      </c>
      <c r="L482" s="10" t="str">
        <f aca="false">IF($J482=1,RANK($K482,$K$2:$K$1001),"")</f>
        <v/>
      </c>
    </row>
    <row r="483" customFormat="false" ht="15" hidden="false" customHeight="false" outlineLevel="0" collapsed="false">
      <c r="J483" s="10" t="n">
        <f aca="false">IF($D483="",0,IF(AND(OR(Test!$B$4="Hepsi",$B483=Test!$B$4),OR(Test!$B$5="Hepsi",$C483=Test!$B$5)),1,0))</f>
        <v>0</v>
      </c>
      <c r="K483" s="10" t="n">
        <f aca="true">IF($J483=1,RAND(),-1)</f>
        <v>-1</v>
      </c>
      <c r="L483" s="10" t="str">
        <f aca="false">IF($J483=1,RANK($K483,$K$2:$K$1001),"")</f>
        <v/>
      </c>
    </row>
    <row r="484" customFormat="false" ht="15" hidden="false" customHeight="false" outlineLevel="0" collapsed="false">
      <c r="J484" s="10" t="n">
        <f aca="false">IF($D484="",0,IF(AND(OR(Test!$B$4="Hepsi",$B484=Test!$B$4),OR(Test!$B$5="Hepsi",$C484=Test!$B$5)),1,0))</f>
        <v>0</v>
      </c>
      <c r="K484" s="10" t="n">
        <f aca="true">IF($J484=1,RAND(),-1)</f>
        <v>-1</v>
      </c>
      <c r="L484" s="10" t="str">
        <f aca="false">IF($J484=1,RANK($K484,$K$2:$K$1001),"")</f>
        <v/>
      </c>
    </row>
    <row r="485" customFormat="false" ht="15" hidden="false" customHeight="false" outlineLevel="0" collapsed="false">
      <c r="J485" s="10" t="n">
        <f aca="false">IF($D485="",0,IF(AND(OR(Test!$B$4="Hepsi",$B485=Test!$B$4),OR(Test!$B$5="Hepsi",$C485=Test!$B$5)),1,0))</f>
        <v>0</v>
      </c>
      <c r="K485" s="10" t="n">
        <f aca="true">IF($J485=1,RAND(),-1)</f>
        <v>-1</v>
      </c>
      <c r="L485" s="10" t="str">
        <f aca="false">IF($J485=1,RANK($K485,$K$2:$K$1001),"")</f>
        <v/>
      </c>
    </row>
    <row r="486" customFormat="false" ht="15" hidden="false" customHeight="false" outlineLevel="0" collapsed="false">
      <c r="J486" s="10" t="n">
        <f aca="false">IF($D486="",0,IF(AND(OR(Test!$B$4="Hepsi",$B486=Test!$B$4),OR(Test!$B$5="Hepsi",$C486=Test!$B$5)),1,0))</f>
        <v>0</v>
      </c>
      <c r="K486" s="10" t="n">
        <f aca="true">IF($J486=1,RAND(),-1)</f>
        <v>-1</v>
      </c>
      <c r="L486" s="10" t="str">
        <f aca="false">IF($J486=1,RANK($K486,$K$2:$K$1001),"")</f>
        <v/>
      </c>
    </row>
    <row r="487" customFormat="false" ht="15" hidden="false" customHeight="false" outlineLevel="0" collapsed="false">
      <c r="J487" s="10" t="n">
        <f aca="false">IF($D487="",0,IF(AND(OR(Test!$B$4="Hepsi",$B487=Test!$B$4),OR(Test!$B$5="Hepsi",$C487=Test!$B$5)),1,0))</f>
        <v>0</v>
      </c>
      <c r="K487" s="10" t="n">
        <f aca="true">IF($J487=1,RAND(),-1)</f>
        <v>-1</v>
      </c>
      <c r="L487" s="10" t="str">
        <f aca="false">IF($J487=1,RANK($K487,$K$2:$K$1001),"")</f>
        <v/>
      </c>
    </row>
    <row r="488" customFormat="false" ht="15" hidden="false" customHeight="false" outlineLevel="0" collapsed="false">
      <c r="J488" s="10" t="n">
        <f aca="false">IF($D488="",0,IF(AND(OR(Test!$B$4="Hepsi",$B488=Test!$B$4),OR(Test!$B$5="Hepsi",$C488=Test!$B$5)),1,0))</f>
        <v>0</v>
      </c>
      <c r="K488" s="10" t="n">
        <f aca="true">IF($J488=1,RAND(),-1)</f>
        <v>-1</v>
      </c>
      <c r="L488" s="10" t="str">
        <f aca="false">IF($J488=1,RANK($K488,$K$2:$K$1001),"")</f>
        <v/>
      </c>
    </row>
    <row r="489" customFormat="false" ht="15" hidden="false" customHeight="false" outlineLevel="0" collapsed="false">
      <c r="J489" s="10" t="n">
        <f aca="false">IF($D489="",0,IF(AND(OR(Test!$B$4="Hepsi",$B489=Test!$B$4),OR(Test!$B$5="Hepsi",$C489=Test!$B$5)),1,0))</f>
        <v>0</v>
      </c>
      <c r="K489" s="10" t="n">
        <f aca="true">IF($J489=1,RAND(),-1)</f>
        <v>-1</v>
      </c>
      <c r="L489" s="10" t="str">
        <f aca="false">IF($J489=1,RANK($K489,$K$2:$K$1001),"")</f>
        <v/>
      </c>
    </row>
    <row r="490" customFormat="false" ht="15" hidden="false" customHeight="false" outlineLevel="0" collapsed="false">
      <c r="J490" s="10" t="n">
        <f aca="false">IF($D490="",0,IF(AND(OR(Test!$B$4="Hepsi",$B490=Test!$B$4),OR(Test!$B$5="Hepsi",$C490=Test!$B$5)),1,0))</f>
        <v>0</v>
      </c>
      <c r="K490" s="10" t="n">
        <f aca="true">IF($J490=1,RAND(),-1)</f>
        <v>-1</v>
      </c>
      <c r="L490" s="10" t="str">
        <f aca="false">IF($J490=1,RANK($K490,$K$2:$K$1001),"")</f>
        <v/>
      </c>
    </row>
    <row r="491" customFormat="false" ht="15" hidden="false" customHeight="false" outlineLevel="0" collapsed="false">
      <c r="J491" s="10" t="n">
        <f aca="false">IF($D491="",0,IF(AND(OR(Test!$B$4="Hepsi",$B491=Test!$B$4),OR(Test!$B$5="Hepsi",$C491=Test!$B$5)),1,0))</f>
        <v>0</v>
      </c>
      <c r="K491" s="10" t="n">
        <f aca="true">IF($J491=1,RAND(),-1)</f>
        <v>-1</v>
      </c>
      <c r="L491" s="10" t="str">
        <f aca="false">IF($J491=1,RANK($K491,$K$2:$K$1001),"")</f>
        <v/>
      </c>
    </row>
    <row r="492" customFormat="false" ht="15" hidden="false" customHeight="false" outlineLevel="0" collapsed="false">
      <c r="J492" s="10" t="n">
        <f aca="false">IF($D492="",0,IF(AND(OR(Test!$B$4="Hepsi",$B492=Test!$B$4),OR(Test!$B$5="Hepsi",$C492=Test!$B$5)),1,0))</f>
        <v>0</v>
      </c>
      <c r="K492" s="10" t="n">
        <f aca="true">IF($J492=1,RAND(),-1)</f>
        <v>-1</v>
      </c>
      <c r="L492" s="10" t="str">
        <f aca="false">IF($J492=1,RANK($K492,$K$2:$K$1001),"")</f>
        <v/>
      </c>
    </row>
    <row r="493" customFormat="false" ht="15" hidden="false" customHeight="false" outlineLevel="0" collapsed="false">
      <c r="J493" s="10" t="n">
        <f aca="false">IF($D493="",0,IF(AND(OR(Test!$B$4="Hepsi",$B493=Test!$B$4),OR(Test!$B$5="Hepsi",$C493=Test!$B$5)),1,0))</f>
        <v>0</v>
      </c>
      <c r="K493" s="10" t="n">
        <f aca="true">IF($J493=1,RAND(),-1)</f>
        <v>-1</v>
      </c>
      <c r="L493" s="10" t="str">
        <f aca="false">IF($J493=1,RANK($K493,$K$2:$K$1001),"")</f>
        <v/>
      </c>
    </row>
    <row r="494" customFormat="false" ht="15" hidden="false" customHeight="false" outlineLevel="0" collapsed="false">
      <c r="J494" s="10" t="n">
        <f aca="false">IF($D494="",0,IF(AND(OR(Test!$B$4="Hepsi",$B494=Test!$B$4),OR(Test!$B$5="Hepsi",$C494=Test!$B$5)),1,0))</f>
        <v>0</v>
      </c>
      <c r="K494" s="10" t="n">
        <f aca="true">IF($J494=1,RAND(),-1)</f>
        <v>-1</v>
      </c>
      <c r="L494" s="10" t="str">
        <f aca="false">IF($J494=1,RANK($K494,$K$2:$K$1001),"")</f>
        <v/>
      </c>
    </row>
    <row r="495" customFormat="false" ht="15" hidden="false" customHeight="false" outlineLevel="0" collapsed="false">
      <c r="J495" s="10" t="n">
        <f aca="false">IF($D495="",0,IF(AND(OR(Test!$B$4="Hepsi",$B495=Test!$B$4),OR(Test!$B$5="Hepsi",$C495=Test!$B$5)),1,0))</f>
        <v>0</v>
      </c>
      <c r="K495" s="10" t="n">
        <f aca="true">IF($J495=1,RAND(),-1)</f>
        <v>-1</v>
      </c>
      <c r="L495" s="10" t="str">
        <f aca="false">IF($J495=1,RANK($K495,$K$2:$K$1001),"")</f>
        <v/>
      </c>
    </row>
    <row r="496" customFormat="false" ht="15" hidden="false" customHeight="false" outlineLevel="0" collapsed="false">
      <c r="J496" s="10" t="n">
        <f aca="false">IF($D496="",0,IF(AND(OR(Test!$B$4="Hepsi",$B496=Test!$B$4),OR(Test!$B$5="Hepsi",$C496=Test!$B$5)),1,0))</f>
        <v>0</v>
      </c>
      <c r="K496" s="10" t="n">
        <f aca="true">IF($J496=1,RAND(),-1)</f>
        <v>-1</v>
      </c>
      <c r="L496" s="10" t="str">
        <f aca="false">IF($J496=1,RANK($K496,$K$2:$K$1001),"")</f>
        <v/>
      </c>
    </row>
    <row r="497" customFormat="false" ht="15" hidden="false" customHeight="false" outlineLevel="0" collapsed="false">
      <c r="J497" s="10" t="n">
        <f aca="false">IF($D497="",0,IF(AND(OR(Test!$B$4="Hepsi",$B497=Test!$B$4),OR(Test!$B$5="Hepsi",$C497=Test!$B$5)),1,0))</f>
        <v>0</v>
      </c>
      <c r="K497" s="10" t="n">
        <f aca="true">IF($J497=1,RAND(),-1)</f>
        <v>-1</v>
      </c>
      <c r="L497" s="10" t="str">
        <f aca="false">IF($J497=1,RANK($K497,$K$2:$K$1001),"")</f>
        <v/>
      </c>
    </row>
    <row r="498" customFormat="false" ht="15" hidden="false" customHeight="false" outlineLevel="0" collapsed="false">
      <c r="J498" s="10" t="n">
        <f aca="false">IF($D498="",0,IF(AND(OR(Test!$B$4="Hepsi",$B498=Test!$B$4),OR(Test!$B$5="Hepsi",$C498=Test!$B$5)),1,0))</f>
        <v>0</v>
      </c>
      <c r="K498" s="10" t="n">
        <f aca="true">IF($J498=1,RAND(),-1)</f>
        <v>-1</v>
      </c>
      <c r="L498" s="10" t="str">
        <f aca="false">IF($J498=1,RANK($K498,$K$2:$K$1001),"")</f>
        <v/>
      </c>
    </row>
    <row r="499" customFormat="false" ht="15" hidden="false" customHeight="false" outlineLevel="0" collapsed="false">
      <c r="J499" s="10" t="n">
        <f aca="false">IF($D499="",0,IF(AND(OR(Test!$B$4="Hepsi",$B499=Test!$B$4),OR(Test!$B$5="Hepsi",$C499=Test!$B$5)),1,0))</f>
        <v>0</v>
      </c>
      <c r="K499" s="10" t="n">
        <f aca="true">IF($J499=1,RAND(),-1)</f>
        <v>-1</v>
      </c>
      <c r="L499" s="10" t="str">
        <f aca="false">IF($J499=1,RANK($K499,$K$2:$K$1001),"")</f>
        <v/>
      </c>
    </row>
    <row r="500" customFormat="false" ht="15" hidden="false" customHeight="false" outlineLevel="0" collapsed="false">
      <c r="J500" s="10" t="n">
        <f aca="false">IF($D500="",0,IF(AND(OR(Test!$B$4="Hepsi",$B500=Test!$B$4),OR(Test!$B$5="Hepsi",$C500=Test!$B$5)),1,0))</f>
        <v>0</v>
      </c>
      <c r="K500" s="10" t="n">
        <f aca="true">IF($J500=1,RAND(),-1)</f>
        <v>-1</v>
      </c>
      <c r="L500" s="10" t="str">
        <f aca="false">IF($J500=1,RANK($K500,$K$2:$K$1001),"")</f>
        <v/>
      </c>
    </row>
    <row r="501" customFormat="false" ht="15" hidden="false" customHeight="false" outlineLevel="0" collapsed="false">
      <c r="J501" s="10" t="n">
        <f aca="false">IF($D501="",0,IF(AND(OR(Test!$B$4="Hepsi",$B501=Test!$B$4),OR(Test!$B$5="Hepsi",$C501=Test!$B$5)),1,0))</f>
        <v>0</v>
      </c>
      <c r="K501" s="10" t="n">
        <f aca="true">IF($J501=1,RAND(),-1)</f>
        <v>-1</v>
      </c>
      <c r="L501" s="10" t="str">
        <f aca="false">IF($J501=1,RANK($K501,$K$2:$K$1001),"")</f>
        <v/>
      </c>
    </row>
    <row r="502" customFormat="false" ht="15" hidden="false" customHeight="false" outlineLevel="0" collapsed="false">
      <c r="J502" s="10" t="n">
        <f aca="false">IF($D502="",0,IF(AND(OR(Test!$B$4="Hepsi",$B502=Test!$B$4),OR(Test!$B$5="Hepsi",$C502=Test!$B$5)),1,0))</f>
        <v>0</v>
      </c>
      <c r="K502" s="10" t="n">
        <f aca="true">IF($J502=1,RAND(),-1)</f>
        <v>-1</v>
      </c>
      <c r="L502" s="10" t="str">
        <f aca="false">IF($J502=1,RANK($K502,$K$2:$K$1001),"")</f>
        <v/>
      </c>
    </row>
    <row r="503" customFormat="false" ht="15" hidden="false" customHeight="false" outlineLevel="0" collapsed="false">
      <c r="J503" s="10" t="n">
        <f aca="false">IF($D503="",0,IF(AND(OR(Test!$B$4="Hepsi",$B503=Test!$B$4),OR(Test!$B$5="Hepsi",$C503=Test!$B$5)),1,0))</f>
        <v>0</v>
      </c>
      <c r="K503" s="10" t="n">
        <f aca="true">IF($J503=1,RAND(),-1)</f>
        <v>-1</v>
      </c>
      <c r="L503" s="10" t="str">
        <f aca="false">IF($J503=1,RANK($K503,$K$2:$K$1001),"")</f>
        <v/>
      </c>
    </row>
    <row r="504" customFormat="false" ht="15" hidden="false" customHeight="false" outlineLevel="0" collapsed="false">
      <c r="J504" s="10" t="n">
        <f aca="false">IF($D504="",0,IF(AND(OR(Test!$B$4="Hepsi",$B504=Test!$B$4),OR(Test!$B$5="Hepsi",$C504=Test!$B$5)),1,0))</f>
        <v>0</v>
      </c>
      <c r="K504" s="10" t="n">
        <f aca="true">IF($J504=1,RAND(),-1)</f>
        <v>-1</v>
      </c>
      <c r="L504" s="10" t="str">
        <f aca="false">IF($J504=1,RANK($K504,$K$2:$K$1001),"")</f>
        <v/>
      </c>
    </row>
    <row r="505" customFormat="false" ht="15" hidden="false" customHeight="false" outlineLevel="0" collapsed="false">
      <c r="J505" s="10" t="n">
        <f aca="false">IF($D505="",0,IF(AND(OR(Test!$B$4="Hepsi",$B505=Test!$B$4),OR(Test!$B$5="Hepsi",$C505=Test!$B$5)),1,0))</f>
        <v>0</v>
      </c>
      <c r="K505" s="10" t="n">
        <f aca="true">IF($J505=1,RAND(),-1)</f>
        <v>-1</v>
      </c>
      <c r="L505" s="10" t="str">
        <f aca="false">IF($J505=1,RANK($K505,$K$2:$K$1001),"")</f>
        <v/>
      </c>
    </row>
    <row r="506" customFormat="false" ht="15" hidden="false" customHeight="false" outlineLevel="0" collapsed="false">
      <c r="J506" s="10" t="n">
        <f aca="false">IF($D506="",0,IF(AND(OR(Test!$B$4="Hepsi",$B506=Test!$B$4),OR(Test!$B$5="Hepsi",$C506=Test!$B$5)),1,0))</f>
        <v>0</v>
      </c>
      <c r="K506" s="10" t="n">
        <f aca="true">IF($J506=1,RAND(),-1)</f>
        <v>-1</v>
      </c>
      <c r="L506" s="10" t="str">
        <f aca="false">IF($J506=1,RANK($K506,$K$2:$K$1001),"")</f>
        <v/>
      </c>
    </row>
    <row r="507" customFormat="false" ht="15" hidden="false" customHeight="false" outlineLevel="0" collapsed="false">
      <c r="J507" s="10" t="n">
        <f aca="false">IF($D507="",0,IF(AND(OR(Test!$B$4="Hepsi",$B507=Test!$B$4),OR(Test!$B$5="Hepsi",$C507=Test!$B$5)),1,0))</f>
        <v>0</v>
      </c>
      <c r="K507" s="10" t="n">
        <f aca="true">IF($J507=1,RAND(),-1)</f>
        <v>-1</v>
      </c>
      <c r="L507" s="10" t="str">
        <f aca="false">IF($J507=1,RANK($K507,$K$2:$K$1001),"")</f>
        <v/>
      </c>
    </row>
    <row r="508" customFormat="false" ht="15" hidden="false" customHeight="false" outlineLevel="0" collapsed="false">
      <c r="J508" s="10" t="n">
        <f aca="false">IF($D508="",0,IF(AND(OR(Test!$B$4="Hepsi",$B508=Test!$B$4),OR(Test!$B$5="Hepsi",$C508=Test!$B$5)),1,0))</f>
        <v>0</v>
      </c>
      <c r="K508" s="10" t="n">
        <f aca="true">IF($J508=1,RAND(),-1)</f>
        <v>-1</v>
      </c>
      <c r="L508" s="10" t="str">
        <f aca="false">IF($J508=1,RANK($K508,$K$2:$K$1001),"")</f>
        <v/>
      </c>
    </row>
    <row r="509" customFormat="false" ht="15" hidden="false" customHeight="false" outlineLevel="0" collapsed="false">
      <c r="J509" s="10" t="n">
        <f aca="false">IF($D509="",0,IF(AND(OR(Test!$B$4="Hepsi",$B509=Test!$B$4),OR(Test!$B$5="Hepsi",$C509=Test!$B$5)),1,0))</f>
        <v>0</v>
      </c>
      <c r="K509" s="10" t="n">
        <f aca="true">IF($J509=1,RAND(),-1)</f>
        <v>-1</v>
      </c>
      <c r="L509" s="10" t="str">
        <f aca="false">IF($J509=1,RANK($K509,$K$2:$K$1001),"")</f>
        <v/>
      </c>
    </row>
    <row r="510" customFormat="false" ht="15" hidden="false" customHeight="false" outlineLevel="0" collapsed="false">
      <c r="J510" s="10" t="n">
        <f aca="false">IF($D510="",0,IF(AND(OR(Test!$B$4="Hepsi",$B510=Test!$B$4),OR(Test!$B$5="Hepsi",$C510=Test!$B$5)),1,0))</f>
        <v>0</v>
      </c>
      <c r="K510" s="10" t="n">
        <f aca="true">IF($J510=1,RAND(),-1)</f>
        <v>-1</v>
      </c>
      <c r="L510" s="10" t="str">
        <f aca="false">IF($J510=1,RANK($K510,$K$2:$K$1001),"")</f>
        <v/>
      </c>
    </row>
    <row r="511" customFormat="false" ht="15" hidden="false" customHeight="false" outlineLevel="0" collapsed="false">
      <c r="J511" s="10" t="n">
        <f aca="false">IF($D511="",0,IF(AND(OR(Test!$B$4="Hepsi",$B511=Test!$B$4),OR(Test!$B$5="Hepsi",$C511=Test!$B$5)),1,0))</f>
        <v>0</v>
      </c>
      <c r="K511" s="10" t="n">
        <f aca="true">IF($J511=1,RAND(),-1)</f>
        <v>-1</v>
      </c>
      <c r="L511" s="10" t="str">
        <f aca="false">IF($J511=1,RANK($K511,$K$2:$K$1001),"")</f>
        <v/>
      </c>
    </row>
    <row r="512" customFormat="false" ht="15" hidden="false" customHeight="false" outlineLevel="0" collapsed="false">
      <c r="J512" s="10" t="n">
        <f aca="false">IF($D512="",0,IF(AND(OR(Test!$B$4="Hepsi",$B512=Test!$B$4),OR(Test!$B$5="Hepsi",$C512=Test!$B$5)),1,0))</f>
        <v>0</v>
      </c>
      <c r="K512" s="10" t="n">
        <f aca="true">IF($J512=1,RAND(),-1)</f>
        <v>-1</v>
      </c>
      <c r="L512" s="10" t="str">
        <f aca="false">IF($J512=1,RANK($K512,$K$2:$K$1001),"")</f>
        <v/>
      </c>
    </row>
    <row r="513" customFormat="false" ht="15" hidden="false" customHeight="false" outlineLevel="0" collapsed="false">
      <c r="J513" s="10" t="n">
        <f aca="false">IF($D513="",0,IF(AND(OR(Test!$B$4="Hepsi",$B513=Test!$B$4),OR(Test!$B$5="Hepsi",$C513=Test!$B$5)),1,0))</f>
        <v>0</v>
      </c>
      <c r="K513" s="10" t="n">
        <f aca="true">IF($J513=1,RAND(),-1)</f>
        <v>-1</v>
      </c>
      <c r="L513" s="10" t="str">
        <f aca="false">IF($J513=1,RANK($K513,$K$2:$K$1001),"")</f>
        <v/>
      </c>
    </row>
    <row r="514" customFormat="false" ht="15" hidden="false" customHeight="false" outlineLevel="0" collapsed="false">
      <c r="J514" s="10" t="n">
        <f aca="false">IF($D514="",0,IF(AND(OR(Test!$B$4="Hepsi",$B514=Test!$B$4),OR(Test!$B$5="Hepsi",$C514=Test!$B$5)),1,0))</f>
        <v>0</v>
      </c>
      <c r="K514" s="10" t="n">
        <f aca="true">IF($J514=1,RAND(),-1)</f>
        <v>-1</v>
      </c>
      <c r="L514" s="10" t="str">
        <f aca="false">IF($J514=1,RANK($K514,$K$2:$K$1001),"")</f>
        <v/>
      </c>
    </row>
    <row r="515" customFormat="false" ht="15" hidden="false" customHeight="false" outlineLevel="0" collapsed="false">
      <c r="J515" s="10" t="n">
        <f aca="false">IF($D515="",0,IF(AND(OR(Test!$B$4="Hepsi",$B515=Test!$B$4),OR(Test!$B$5="Hepsi",$C515=Test!$B$5)),1,0))</f>
        <v>0</v>
      </c>
      <c r="K515" s="10" t="n">
        <f aca="true">IF($J515=1,RAND(),-1)</f>
        <v>-1</v>
      </c>
      <c r="L515" s="10" t="str">
        <f aca="false">IF($J515=1,RANK($K515,$K$2:$K$1001),"")</f>
        <v/>
      </c>
    </row>
    <row r="516" customFormat="false" ht="15" hidden="false" customHeight="false" outlineLevel="0" collapsed="false">
      <c r="J516" s="10" t="n">
        <f aca="false">IF($D516="",0,IF(AND(OR(Test!$B$4="Hepsi",$B516=Test!$B$4),OR(Test!$B$5="Hepsi",$C516=Test!$B$5)),1,0))</f>
        <v>0</v>
      </c>
      <c r="K516" s="10" t="n">
        <f aca="true">IF($J516=1,RAND(),-1)</f>
        <v>-1</v>
      </c>
      <c r="L516" s="10" t="str">
        <f aca="false">IF($J516=1,RANK($K516,$K$2:$K$1001),"")</f>
        <v/>
      </c>
    </row>
    <row r="517" customFormat="false" ht="15" hidden="false" customHeight="false" outlineLevel="0" collapsed="false">
      <c r="J517" s="10" t="n">
        <f aca="false">IF($D517="",0,IF(AND(OR(Test!$B$4="Hepsi",$B517=Test!$B$4),OR(Test!$B$5="Hepsi",$C517=Test!$B$5)),1,0))</f>
        <v>0</v>
      </c>
      <c r="K517" s="10" t="n">
        <f aca="true">IF($J517=1,RAND(),-1)</f>
        <v>-1</v>
      </c>
      <c r="L517" s="10" t="str">
        <f aca="false">IF($J517=1,RANK($K517,$K$2:$K$1001),"")</f>
        <v/>
      </c>
    </row>
    <row r="518" customFormat="false" ht="15" hidden="false" customHeight="false" outlineLevel="0" collapsed="false">
      <c r="J518" s="10" t="n">
        <f aca="false">IF($D518="",0,IF(AND(OR(Test!$B$4="Hepsi",$B518=Test!$B$4),OR(Test!$B$5="Hepsi",$C518=Test!$B$5)),1,0))</f>
        <v>0</v>
      </c>
      <c r="K518" s="10" t="n">
        <f aca="true">IF($J518=1,RAND(),-1)</f>
        <v>-1</v>
      </c>
      <c r="L518" s="10" t="str">
        <f aca="false">IF($J518=1,RANK($K518,$K$2:$K$1001),"")</f>
        <v/>
      </c>
    </row>
    <row r="519" customFormat="false" ht="15" hidden="false" customHeight="false" outlineLevel="0" collapsed="false">
      <c r="J519" s="10" t="n">
        <f aca="false">IF($D519="",0,IF(AND(OR(Test!$B$4="Hepsi",$B519=Test!$B$4),OR(Test!$B$5="Hepsi",$C519=Test!$B$5)),1,0))</f>
        <v>0</v>
      </c>
      <c r="K519" s="10" t="n">
        <f aca="true">IF($J519=1,RAND(),-1)</f>
        <v>-1</v>
      </c>
      <c r="L519" s="10" t="str">
        <f aca="false">IF($J519=1,RANK($K519,$K$2:$K$1001),"")</f>
        <v/>
      </c>
    </row>
    <row r="520" customFormat="false" ht="15" hidden="false" customHeight="false" outlineLevel="0" collapsed="false">
      <c r="J520" s="10" t="n">
        <f aca="false">IF($D520="",0,IF(AND(OR(Test!$B$4="Hepsi",$B520=Test!$B$4),OR(Test!$B$5="Hepsi",$C520=Test!$B$5)),1,0))</f>
        <v>0</v>
      </c>
      <c r="K520" s="10" t="n">
        <f aca="true">IF($J520=1,RAND(),-1)</f>
        <v>-1</v>
      </c>
      <c r="L520" s="10" t="str">
        <f aca="false">IF($J520=1,RANK($K520,$K$2:$K$1001),"")</f>
        <v/>
      </c>
    </row>
    <row r="521" customFormat="false" ht="15" hidden="false" customHeight="false" outlineLevel="0" collapsed="false">
      <c r="J521" s="10" t="n">
        <f aca="false">IF($D521="",0,IF(AND(OR(Test!$B$4="Hepsi",$B521=Test!$B$4),OR(Test!$B$5="Hepsi",$C521=Test!$B$5)),1,0))</f>
        <v>0</v>
      </c>
      <c r="K521" s="10" t="n">
        <f aca="true">IF($J521=1,RAND(),-1)</f>
        <v>-1</v>
      </c>
      <c r="L521" s="10" t="str">
        <f aca="false">IF($J521=1,RANK($K521,$K$2:$K$1001),"")</f>
        <v/>
      </c>
    </row>
    <row r="522" customFormat="false" ht="15" hidden="false" customHeight="false" outlineLevel="0" collapsed="false">
      <c r="J522" s="10" t="n">
        <f aca="false">IF($D522="",0,IF(AND(OR(Test!$B$4="Hepsi",$B522=Test!$B$4),OR(Test!$B$5="Hepsi",$C522=Test!$B$5)),1,0))</f>
        <v>0</v>
      </c>
      <c r="K522" s="10" t="n">
        <f aca="true">IF($J522=1,RAND(),-1)</f>
        <v>-1</v>
      </c>
      <c r="L522" s="10" t="str">
        <f aca="false">IF($J522=1,RANK($K522,$K$2:$K$1001),"")</f>
        <v/>
      </c>
    </row>
    <row r="523" customFormat="false" ht="15" hidden="false" customHeight="false" outlineLevel="0" collapsed="false">
      <c r="J523" s="10" t="n">
        <f aca="false">IF($D523="",0,IF(AND(OR(Test!$B$4="Hepsi",$B523=Test!$B$4),OR(Test!$B$5="Hepsi",$C523=Test!$B$5)),1,0))</f>
        <v>0</v>
      </c>
      <c r="K523" s="10" t="n">
        <f aca="true">IF($J523=1,RAND(),-1)</f>
        <v>-1</v>
      </c>
      <c r="L523" s="10" t="str">
        <f aca="false">IF($J523=1,RANK($K523,$K$2:$K$1001),"")</f>
        <v/>
      </c>
    </row>
    <row r="524" customFormat="false" ht="15" hidden="false" customHeight="false" outlineLevel="0" collapsed="false">
      <c r="J524" s="10" t="n">
        <f aca="false">IF($D524="",0,IF(AND(OR(Test!$B$4="Hepsi",$B524=Test!$B$4),OR(Test!$B$5="Hepsi",$C524=Test!$B$5)),1,0))</f>
        <v>0</v>
      </c>
      <c r="K524" s="10" t="n">
        <f aca="true">IF($J524=1,RAND(),-1)</f>
        <v>-1</v>
      </c>
      <c r="L524" s="10" t="str">
        <f aca="false">IF($J524=1,RANK($K524,$K$2:$K$1001),"")</f>
        <v/>
      </c>
    </row>
    <row r="525" customFormat="false" ht="15" hidden="false" customHeight="false" outlineLevel="0" collapsed="false">
      <c r="J525" s="10" t="n">
        <f aca="false">IF($D525="",0,IF(AND(OR(Test!$B$4="Hepsi",$B525=Test!$B$4),OR(Test!$B$5="Hepsi",$C525=Test!$B$5)),1,0))</f>
        <v>0</v>
      </c>
      <c r="K525" s="10" t="n">
        <f aca="true">IF($J525=1,RAND(),-1)</f>
        <v>-1</v>
      </c>
      <c r="L525" s="10" t="str">
        <f aca="false">IF($J525=1,RANK($K525,$K$2:$K$1001),"")</f>
        <v/>
      </c>
    </row>
    <row r="526" customFormat="false" ht="15" hidden="false" customHeight="false" outlineLevel="0" collapsed="false">
      <c r="J526" s="10" t="n">
        <f aca="false">IF($D526="",0,IF(AND(OR(Test!$B$4="Hepsi",$B526=Test!$B$4),OR(Test!$B$5="Hepsi",$C526=Test!$B$5)),1,0))</f>
        <v>0</v>
      </c>
      <c r="K526" s="10" t="n">
        <f aca="true">IF($J526=1,RAND(),-1)</f>
        <v>-1</v>
      </c>
      <c r="L526" s="10" t="str">
        <f aca="false">IF($J526=1,RANK($K526,$K$2:$K$1001),"")</f>
        <v/>
      </c>
    </row>
    <row r="527" customFormat="false" ht="15" hidden="false" customHeight="false" outlineLevel="0" collapsed="false">
      <c r="J527" s="10" t="n">
        <f aca="false">IF($D527="",0,IF(AND(OR(Test!$B$4="Hepsi",$B527=Test!$B$4),OR(Test!$B$5="Hepsi",$C527=Test!$B$5)),1,0))</f>
        <v>0</v>
      </c>
      <c r="K527" s="10" t="n">
        <f aca="true">IF($J527=1,RAND(),-1)</f>
        <v>-1</v>
      </c>
      <c r="L527" s="10" t="str">
        <f aca="false">IF($J527=1,RANK($K527,$K$2:$K$1001),"")</f>
        <v/>
      </c>
    </row>
    <row r="528" customFormat="false" ht="15" hidden="false" customHeight="false" outlineLevel="0" collapsed="false">
      <c r="J528" s="10" t="n">
        <f aca="false">IF($D528="",0,IF(AND(OR(Test!$B$4="Hepsi",$B528=Test!$B$4),OR(Test!$B$5="Hepsi",$C528=Test!$B$5)),1,0))</f>
        <v>0</v>
      </c>
      <c r="K528" s="10" t="n">
        <f aca="true">IF($J528=1,RAND(),-1)</f>
        <v>-1</v>
      </c>
      <c r="L528" s="10" t="str">
        <f aca="false">IF($J528=1,RANK($K528,$K$2:$K$1001),"")</f>
        <v/>
      </c>
    </row>
    <row r="529" customFormat="false" ht="15" hidden="false" customHeight="false" outlineLevel="0" collapsed="false">
      <c r="J529" s="10" t="n">
        <f aca="false">IF($D529="",0,IF(AND(OR(Test!$B$4="Hepsi",$B529=Test!$B$4),OR(Test!$B$5="Hepsi",$C529=Test!$B$5)),1,0))</f>
        <v>0</v>
      </c>
      <c r="K529" s="10" t="n">
        <f aca="true">IF($J529=1,RAND(),-1)</f>
        <v>-1</v>
      </c>
      <c r="L529" s="10" t="str">
        <f aca="false">IF($J529=1,RANK($K529,$K$2:$K$1001),"")</f>
        <v/>
      </c>
    </row>
    <row r="530" customFormat="false" ht="15" hidden="false" customHeight="false" outlineLevel="0" collapsed="false">
      <c r="J530" s="10" t="n">
        <f aca="false">IF($D530="",0,IF(AND(OR(Test!$B$4="Hepsi",$B530=Test!$B$4),OR(Test!$B$5="Hepsi",$C530=Test!$B$5)),1,0))</f>
        <v>0</v>
      </c>
      <c r="K530" s="10" t="n">
        <f aca="true">IF($J530=1,RAND(),-1)</f>
        <v>-1</v>
      </c>
      <c r="L530" s="10" t="str">
        <f aca="false">IF($J530=1,RANK($K530,$K$2:$K$1001),"")</f>
        <v/>
      </c>
    </row>
    <row r="531" customFormat="false" ht="15" hidden="false" customHeight="false" outlineLevel="0" collapsed="false">
      <c r="J531" s="10" t="n">
        <f aca="false">IF($D531="",0,IF(AND(OR(Test!$B$4="Hepsi",$B531=Test!$B$4),OR(Test!$B$5="Hepsi",$C531=Test!$B$5)),1,0))</f>
        <v>0</v>
      </c>
      <c r="K531" s="10" t="n">
        <f aca="true">IF($J531=1,RAND(),-1)</f>
        <v>-1</v>
      </c>
      <c r="L531" s="10" t="str">
        <f aca="false">IF($J531=1,RANK($K531,$K$2:$K$1001),"")</f>
        <v/>
      </c>
    </row>
    <row r="532" customFormat="false" ht="15" hidden="false" customHeight="false" outlineLevel="0" collapsed="false">
      <c r="J532" s="10" t="n">
        <f aca="false">IF($D532="",0,IF(AND(OR(Test!$B$4="Hepsi",$B532=Test!$B$4),OR(Test!$B$5="Hepsi",$C532=Test!$B$5)),1,0))</f>
        <v>0</v>
      </c>
      <c r="K532" s="10" t="n">
        <f aca="true">IF($J532=1,RAND(),-1)</f>
        <v>-1</v>
      </c>
      <c r="L532" s="10" t="str">
        <f aca="false">IF($J532=1,RANK($K532,$K$2:$K$1001),"")</f>
        <v/>
      </c>
    </row>
    <row r="533" customFormat="false" ht="15" hidden="false" customHeight="false" outlineLevel="0" collapsed="false">
      <c r="J533" s="10" t="n">
        <f aca="false">IF($D533="",0,IF(AND(OR(Test!$B$4="Hepsi",$B533=Test!$B$4),OR(Test!$B$5="Hepsi",$C533=Test!$B$5)),1,0))</f>
        <v>0</v>
      </c>
      <c r="K533" s="10" t="n">
        <f aca="true">IF($J533=1,RAND(),-1)</f>
        <v>-1</v>
      </c>
      <c r="L533" s="10" t="str">
        <f aca="false">IF($J533=1,RANK($K533,$K$2:$K$1001),"")</f>
        <v/>
      </c>
    </row>
    <row r="534" customFormat="false" ht="15" hidden="false" customHeight="false" outlineLevel="0" collapsed="false">
      <c r="J534" s="10" t="n">
        <f aca="false">IF($D534="",0,IF(AND(OR(Test!$B$4="Hepsi",$B534=Test!$B$4),OR(Test!$B$5="Hepsi",$C534=Test!$B$5)),1,0))</f>
        <v>0</v>
      </c>
      <c r="K534" s="10" t="n">
        <f aca="true">IF($J534=1,RAND(),-1)</f>
        <v>-1</v>
      </c>
      <c r="L534" s="10" t="str">
        <f aca="false">IF($J534=1,RANK($K534,$K$2:$K$1001),"")</f>
        <v/>
      </c>
    </row>
    <row r="535" customFormat="false" ht="15" hidden="false" customHeight="false" outlineLevel="0" collapsed="false">
      <c r="J535" s="10" t="n">
        <f aca="false">IF($D535="",0,IF(AND(OR(Test!$B$4="Hepsi",$B535=Test!$B$4),OR(Test!$B$5="Hepsi",$C535=Test!$B$5)),1,0))</f>
        <v>0</v>
      </c>
      <c r="K535" s="10" t="n">
        <f aca="true">IF($J535=1,RAND(),-1)</f>
        <v>-1</v>
      </c>
      <c r="L535" s="10" t="str">
        <f aca="false">IF($J535=1,RANK($K535,$K$2:$K$1001),"")</f>
        <v/>
      </c>
    </row>
    <row r="536" customFormat="false" ht="15" hidden="false" customHeight="false" outlineLevel="0" collapsed="false">
      <c r="J536" s="10" t="n">
        <f aca="false">IF($D536="",0,IF(AND(OR(Test!$B$4="Hepsi",$B536=Test!$B$4),OR(Test!$B$5="Hepsi",$C536=Test!$B$5)),1,0))</f>
        <v>0</v>
      </c>
      <c r="K536" s="10" t="n">
        <f aca="true">IF($J536=1,RAND(),-1)</f>
        <v>-1</v>
      </c>
      <c r="L536" s="10" t="str">
        <f aca="false">IF($J536=1,RANK($K536,$K$2:$K$1001),"")</f>
        <v/>
      </c>
    </row>
    <row r="537" customFormat="false" ht="15" hidden="false" customHeight="false" outlineLevel="0" collapsed="false">
      <c r="J537" s="10" t="n">
        <f aca="false">IF($D537="",0,IF(AND(OR(Test!$B$4="Hepsi",$B537=Test!$B$4),OR(Test!$B$5="Hepsi",$C537=Test!$B$5)),1,0))</f>
        <v>0</v>
      </c>
      <c r="K537" s="10" t="n">
        <f aca="true">IF($J537=1,RAND(),-1)</f>
        <v>-1</v>
      </c>
      <c r="L537" s="10" t="str">
        <f aca="false">IF($J537=1,RANK($K537,$K$2:$K$1001),"")</f>
        <v/>
      </c>
    </row>
    <row r="538" customFormat="false" ht="15" hidden="false" customHeight="false" outlineLevel="0" collapsed="false">
      <c r="J538" s="10" t="n">
        <f aca="false">IF($D538="",0,IF(AND(OR(Test!$B$4="Hepsi",$B538=Test!$B$4),OR(Test!$B$5="Hepsi",$C538=Test!$B$5)),1,0))</f>
        <v>0</v>
      </c>
      <c r="K538" s="10" t="n">
        <f aca="true">IF($J538=1,RAND(),-1)</f>
        <v>-1</v>
      </c>
      <c r="L538" s="10" t="str">
        <f aca="false">IF($J538=1,RANK($K538,$K$2:$K$1001),"")</f>
        <v/>
      </c>
    </row>
    <row r="539" customFormat="false" ht="15" hidden="false" customHeight="false" outlineLevel="0" collapsed="false">
      <c r="J539" s="10" t="n">
        <f aca="false">IF($D539="",0,IF(AND(OR(Test!$B$4="Hepsi",$B539=Test!$B$4),OR(Test!$B$5="Hepsi",$C539=Test!$B$5)),1,0))</f>
        <v>0</v>
      </c>
      <c r="K539" s="10" t="n">
        <f aca="true">IF($J539=1,RAND(),-1)</f>
        <v>-1</v>
      </c>
      <c r="L539" s="10" t="str">
        <f aca="false">IF($J539=1,RANK($K539,$K$2:$K$1001),"")</f>
        <v/>
      </c>
    </row>
    <row r="540" customFormat="false" ht="15" hidden="false" customHeight="false" outlineLevel="0" collapsed="false">
      <c r="J540" s="10" t="n">
        <f aca="false">IF($D540="",0,IF(AND(OR(Test!$B$4="Hepsi",$B540=Test!$B$4),OR(Test!$B$5="Hepsi",$C540=Test!$B$5)),1,0))</f>
        <v>0</v>
      </c>
      <c r="K540" s="10" t="n">
        <f aca="true">IF($J540=1,RAND(),-1)</f>
        <v>-1</v>
      </c>
      <c r="L540" s="10" t="str">
        <f aca="false">IF($J540=1,RANK($K540,$K$2:$K$1001),"")</f>
        <v/>
      </c>
    </row>
    <row r="541" customFormat="false" ht="15" hidden="false" customHeight="false" outlineLevel="0" collapsed="false">
      <c r="J541" s="10" t="n">
        <f aca="false">IF($D541="",0,IF(AND(OR(Test!$B$4="Hepsi",$B541=Test!$B$4),OR(Test!$B$5="Hepsi",$C541=Test!$B$5)),1,0))</f>
        <v>0</v>
      </c>
      <c r="K541" s="10" t="n">
        <f aca="true">IF($J541=1,RAND(),-1)</f>
        <v>-1</v>
      </c>
      <c r="L541" s="10" t="str">
        <f aca="false">IF($J541=1,RANK($K541,$K$2:$K$1001),"")</f>
        <v/>
      </c>
    </row>
    <row r="542" customFormat="false" ht="15" hidden="false" customHeight="false" outlineLevel="0" collapsed="false">
      <c r="J542" s="10" t="n">
        <f aca="false">IF($D542="",0,IF(AND(OR(Test!$B$4="Hepsi",$B542=Test!$B$4),OR(Test!$B$5="Hepsi",$C542=Test!$B$5)),1,0))</f>
        <v>0</v>
      </c>
      <c r="K542" s="10" t="n">
        <f aca="true">IF($J542=1,RAND(),-1)</f>
        <v>-1</v>
      </c>
      <c r="L542" s="10" t="str">
        <f aca="false">IF($J542=1,RANK($K542,$K$2:$K$1001),"")</f>
        <v/>
      </c>
    </row>
    <row r="543" customFormat="false" ht="15" hidden="false" customHeight="false" outlineLevel="0" collapsed="false">
      <c r="J543" s="10" t="n">
        <f aca="false">IF($D543="",0,IF(AND(OR(Test!$B$4="Hepsi",$B543=Test!$B$4),OR(Test!$B$5="Hepsi",$C543=Test!$B$5)),1,0))</f>
        <v>0</v>
      </c>
      <c r="K543" s="10" t="n">
        <f aca="true">IF($J543=1,RAND(),-1)</f>
        <v>-1</v>
      </c>
      <c r="L543" s="10" t="str">
        <f aca="false">IF($J543=1,RANK($K543,$K$2:$K$1001),"")</f>
        <v/>
      </c>
    </row>
    <row r="544" customFormat="false" ht="15" hidden="false" customHeight="false" outlineLevel="0" collapsed="false">
      <c r="J544" s="10" t="n">
        <f aca="false">IF($D544="",0,IF(AND(OR(Test!$B$4="Hepsi",$B544=Test!$B$4),OR(Test!$B$5="Hepsi",$C544=Test!$B$5)),1,0))</f>
        <v>0</v>
      </c>
      <c r="K544" s="10" t="n">
        <f aca="true">IF($J544=1,RAND(),-1)</f>
        <v>-1</v>
      </c>
      <c r="L544" s="10" t="str">
        <f aca="false">IF($J544=1,RANK($K544,$K$2:$K$1001),"")</f>
        <v/>
      </c>
    </row>
    <row r="545" customFormat="false" ht="15" hidden="false" customHeight="false" outlineLevel="0" collapsed="false">
      <c r="J545" s="10" t="n">
        <f aca="false">IF($D545="",0,IF(AND(OR(Test!$B$4="Hepsi",$B545=Test!$B$4),OR(Test!$B$5="Hepsi",$C545=Test!$B$5)),1,0))</f>
        <v>0</v>
      </c>
      <c r="K545" s="10" t="n">
        <f aca="true">IF($J545=1,RAND(),-1)</f>
        <v>-1</v>
      </c>
      <c r="L545" s="10" t="str">
        <f aca="false">IF($J545=1,RANK($K545,$K$2:$K$1001),"")</f>
        <v/>
      </c>
    </row>
    <row r="546" customFormat="false" ht="15" hidden="false" customHeight="false" outlineLevel="0" collapsed="false">
      <c r="J546" s="10" t="n">
        <f aca="false">IF($D546="",0,IF(AND(OR(Test!$B$4="Hepsi",$B546=Test!$B$4),OR(Test!$B$5="Hepsi",$C546=Test!$B$5)),1,0))</f>
        <v>0</v>
      </c>
      <c r="K546" s="10" t="n">
        <f aca="true">IF($J546=1,RAND(),-1)</f>
        <v>-1</v>
      </c>
      <c r="L546" s="10" t="str">
        <f aca="false">IF($J546=1,RANK($K546,$K$2:$K$1001),"")</f>
        <v/>
      </c>
    </row>
    <row r="547" customFormat="false" ht="15" hidden="false" customHeight="false" outlineLevel="0" collapsed="false">
      <c r="J547" s="10" t="n">
        <f aca="false">IF($D547="",0,IF(AND(OR(Test!$B$4="Hepsi",$B547=Test!$B$4),OR(Test!$B$5="Hepsi",$C547=Test!$B$5)),1,0))</f>
        <v>0</v>
      </c>
      <c r="K547" s="10" t="n">
        <f aca="true">IF($J547=1,RAND(),-1)</f>
        <v>-1</v>
      </c>
      <c r="L547" s="10" t="str">
        <f aca="false">IF($J547=1,RANK($K547,$K$2:$K$1001),"")</f>
        <v/>
      </c>
    </row>
    <row r="548" customFormat="false" ht="15" hidden="false" customHeight="false" outlineLevel="0" collapsed="false">
      <c r="J548" s="10" t="n">
        <f aca="false">IF($D548="",0,IF(AND(OR(Test!$B$4="Hepsi",$B548=Test!$B$4),OR(Test!$B$5="Hepsi",$C548=Test!$B$5)),1,0))</f>
        <v>0</v>
      </c>
      <c r="K548" s="10" t="n">
        <f aca="true">IF($J548=1,RAND(),-1)</f>
        <v>-1</v>
      </c>
      <c r="L548" s="10" t="str">
        <f aca="false">IF($J548=1,RANK($K548,$K$2:$K$1001),"")</f>
        <v/>
      </c>
    </row>
    <row r="549" customFormat="false" ht="15" hidden="false" customHeight="false" outlineLevel="0" collapsed="false">
      <c r="J549" s="10" t="n">
        <f aca="false">IF($D549="",0,IF(AND(OR(Test!$B$4="Hepsi",$B549=Test!$B$4),OR(Test!$B$5="Hepsi",$C549=Test!$B$5)),1,0))</f>
        <v>0</v>
      </c>
      <c r="K549" s="10" t="n">
        <f aca="true">IF($J549=1,RAND(),-1)</f>
        <v>-1</v>
      </c>
      <c r="L549" s="10" t="str">
        <f aca="false">IF($J549=1,RANK($K549,$K$2:$K$1001),"")</f>
        <v/>
      </c>
    </row>
    <row r="550" customFormat="false" ht="15" hidden="false" customHeight="false" outlineLevel="0" collapsed="false">
      <c r="J550" s="10" t="n">
        <f aca="false">IF($D550="",0,IF(AND(OR(Test!$B$4="Hepsi",$B550=Test!$B$4),OR(Test!$B$5="Hepsi",$C550=Test!$B$5)),1,0))</f>
        <v>0</v>
      </c>
      <c r="K550" s="10" t="n">
        <f aca="true">IF($J550=1,RAND(),-1)</f>
        <v>-1</v>
      </c>
      <c r="L550" s="10" t="str">
        <f aca="false">IF($J550=1,RANK($K550,$K$2:$K$1001),"")</f>
        <v/>
      </c>
    </row>
    <row r="551" customFormat="false" ht="15" hidden="false" customHeight="false" outlineLevel="0" collapsed="false">
      <c r="J551" s="10" t="n">
        <f aca="false">IF($D551="",0,IF(AND(OR(Test!$B$4="Hepsi",$B551=Test!$B$4),OR(Test!$B$5="Hepsi",$C551=Test!$B$5)),1,0))</f>
        <v>0</v>
      </c>
      <c r="K551" s="10" t="n">
        <f aca="true">IF($J551=1,RAND(),-1)</f>
        <v>-1</v>
      </c>
      <c r="L551" s="10" t="str">
        <f aca="false">IF($J551=1,RANK($K551,$K$2:$K$1001),"")</f>
        <v/>
      </c>
    </row>
    <row r="552" customFormat="false" ht="15" hidden="false" customHeight="false" outlineLevel="0" collapsed="false">
      <c r="J552" s="10" t="n">
        <f aca="false">IF($D552="",0,IF(AND(OR(Test!$B$4="Hepsi",$B552=Test!$B$4),OR(Test!$B$5="Hepsi",$C552=Test!$B$5)),1,0))</f>
        <v>0</v>
      </c>
      <c r="K552" s="10" t="n">
        <f aca="true">IF($J552=1,RAND(),-1)</f>
        <v>-1</v>
      </c>
      <c r="L552" s="10" t="str">
        <f aca="false">IF($J552=1,RANK($K552,$K$2:$K$1001),"")</f>
        <v/>
      </c>
    </row>
    <row r="553" customFormat="false" ht="15" hidden="false" customHeight="false" outlineLevel="0" collapsed="false">
      <c r="J553" s="10" t="n">
        <f aca="false">IF($D553="",0,IF(AND(OR(Test!$B$4="Hepsi",$B553=Test!$B$4),OR(Test!$B$5="Hepsi",$C553=Test!$B$5)),1,0))</f>
        <v>0</v>
      </c>
      <c r="K553" s="10" t="n">
        <f aca="true">IF($J553=1,RAND(),-1)</f>
        <v>-1</v>
      </c>
      <c r="L553" s="10" t="str">
        <f aca="false">IF($J553=1,RANK($K553,$K$2:$K$1001),"")</f>
        <v/>
      </c>
    </row>
    <row r="554" customFormat="false" ht="15" hidden="false" customHeight="false" outlineLevel="0" collapsed="false">
      <c r="J554" s="10" t="n">
        <f aca="false">IF($D554="",0,IF(AND(OR(Test!$B$4="Hepsi",$B554=Test!$B$4),OR(Test!$B$5="Hepsi",$C554=Test!$B$5)),1,0))</f>
        <v>0</v>
      </c>
      <c r="K554" s="10" t="n">
        <f aca="true">IF($J554=1,RAND(),-1)</f>
        <v>-1</v>
      </c>
      <c r="L554" s="10" t="str">
        <f aca="false">IF($J554=1,RANK($K554,$K$2:$K$1001),"")</f>
        <v/>
      </c>
    </row>
    <row r="555" customFormat="false" ht="15" hidden="false" customHeight="false" outlineLevel="0" collapsed="false">
      <c r="J555" s="10" t="n">
        <f aca="false">IF($D555="",0,IF(AND(OR(Test!$B$4="Hepsi",$B555=Test!$B$4),OR(Test!$B$5="Hepsi",$C555=Test!$B$5)),1,0))</f>
        <v>0</v>
      </c>
      <c r="K555" s="10" t="n">
        <f aca="true">IF($J555=1,RAND(),-1)</f>
        <v>-1</v>
      </c>
      <c r="L555" s="10" t="str">
        <f aca="false">IF($J555=1,RANK($K555,$K$2:$K$1001),"")</f>
        <v/>
      </c>
    </row>
    <row r="556" customFormat="false" ht="15" hidden="false" customHeight="false" outlineLevel="0" collapsed="false">
      <c r="J556" s="10" t="n">
        <f aca="false">IF($D556="",0,IF(AND(OR(Test!$B$4="Hepsi",$B556=Test!$B$4),OR(Test!$B$5="Hepsi",$C556=Test!$B$5)),1,0))</f>
        <v>0</v>
      </c>
      <c r="K556" s="10" t="n">
        <f aca="true">IF($J556=1,RAND(),-1)</f>
        <v>-1</v>
      </c>
      <c r="L556" s="10" t="str">
        <f aca="false">IF($J556=1,RANK($K556,$K$2:$K$1001),"")</f>
        <v/>
      </c>
    </row>
    <row r="557" customFormat="false" ht="15" hidden="false" customHeight="false" outlineLevel="0" collapsed="false">
      <c r="J557" s="10" t="n">
        <f aca="false">IF($D557="",0,IF(AND(OR(Test!$B$4="Hepsi",$B557=Test!$B$4),OR(Test!$B$5="Hepsi",$C557=Test!$B$5)),1,0))</f>
        <v>0</v>
      </c>
      <c r="K557" s="10" t="n">
        <f aca="true">IF($J557=1,RAND(),-1)</f>
        <v>-1</v>
      </c>
      <c r="L557" s="10" t="str">
        <f aca="false">IF($J557=1,RANK($K557,$K$2:$K$1001),"")</f>
        <v/>
      </c>
    </row>
    <row r="558" customFormat="false" ht="15" hidden="false" customHeight="false" outlineLevel="0" collapsed="false">
      <c r="J558" s="10" t="n">
        <f aca="false">IF($D558="",0,IF(AND(OR(Test!$B$4="Hepsi",$B558=Test!$B$4),OR(Test!$B$5="Hepsi",$C558=Test!$B$5)),1,0))</f>
        <v>0</v>
      </c>
      <c r="K558" s="10" t="n">
        <f aca="true">IF($J558=1,RAND(),-1)</f>
        <v>-1</v>
      </c>
      <c r="L558" s="10" t="str">
        <f aca="false">IF($J558=1,RANK($K558,$K$2:$K$1001),"")</f>
        <v/>
      </c>
    </row>
    <row r="559" customFormat="false" ht="15" hidden="false" customHeight="false" outlineLevel="0" collapsed="false">
      <c r="J559" s="10" t="n">
        <f aca="false">IF($D559="",0,IF(AND(OR(Test!$B$4="Hepsi",$B559=Test!$B$4),OR(Test!$B$5="Hepsi",$C559=Test!$B$5)),1,0))</f>
        <v>0</v>
      </c>
      <c r="K559" s="10" t="n">
        <f aca="true">IF($J559=1,RAND(),-1)</f>
        <v>-1</v>
      </c>
      <c r="L559" s="10" t="str">
        <f aca="false">IF($J559=1,RANK($K559,$K$2:$K$1001),"")</f>
        <v/>
      </c>
    </row>
    <row r="560" customFormat="false" ht="15" hidden="false" customHeight="false" outlineLevel="0" collapsed="false">
      <c r="J560" s="10" t="n">
        <f aca="false">IF($D560="",0,IF(AND(OR(Test!$B$4="Hepsi",$B560=Test!$B$4),OR(Test!$B$5="Hepsi",$C560=Test!$B$5)),1,0))</f>
        <v>0</v>
      </c>
      <c r="K560" s="10" t="n">
        <f aca="true">IF($J560=1,RAND(),-1)</f>
        <v>-1</v>
      </c>
      <c r="L560" s="10" t="str">
        <f aca="false">IF($J560=1,RANK($K560,$K$2:$K$1001),"")</f>
        <v/>
      </c>
    </row>
    <row r="561" customFormat="false" ht="15" hidden="false" customHeight="false" outlineLevel="0" collapsed="false">
      <c r="J561" s="10" t="n">
        <f aca="false">IF($D561="",0,IF(AND(OR(Test!$B$4="Hepsi",$B561=Test!$B$4),OR(Test!$B$5="Hepsi",$C561=Test!$B$5)),1,0))</f>
        <v>0</v>
      </c>
      <c r="K561" s="10" t="n">
        <f aca="true">IF($J561=1,RAND(),-1)</f>
        <v>-1</v>
      </c>
      <c r="L561" s="10" t="str">
        <f aca="false">IF($J561=1,RANK($K561,$K$2:$K$1001),"")</f>
        <v/>
      </c>
    </row>
    <row r="562" customFormat="false" ht="15" hidden="false" customHeight="false" outlineLevel="0" collapsed="false">
      <c r="J562" s="10" t="n">
        <f aca="false">IF($D562="",0,IF(AND(OR(Test!$B$4="Hepsi",$B562=Test!$B$4),OR(Test!$B$5="Hepsi",$C562=Test!$B$5)),1,0))</f>
        <v>0</v>
      </c>
      <c r="K562" s="10" t="n">
        <f aca="true">IF($J562=1,RAND(),-1)</f>
        <v>-1</v>
      </c>
      <c r="L562" s="10" t="str">
        <f aca="false">IF($J562=1,RANK($K562,$K$2:$K$1001),"")</f>
        <v/>
      </c>
    </row>
    <row r="563" customFormat="false" ht="15" hidden="false" customHeight="false" outlineLevel="0" collapsed="false">
      <c r="J563" s="10" t="n">
        <f aca="false">IF($D563="",0,IF(AND(OR(Test!$B$4="Hepsi",$B563=Test!$B$4),OR(Test!$B$5="Hepsi",$C563=Test!$B$5)),1,0))</f>
        <v>0</v>
      </c>
      <c r="K563" s="10" t="n">
        <f aca="true">IF($J563=1,RAND(),-1)</f>
        <v>-1</v>
      </c>
      <c r="L563" s="10" t="str">
        <f aca="false">IF($J563=1,RANK($K563,$K$2:$K$1001),"")</f>
        <v/>
      </c>
    </row>
    <row r="564" customFormat="false" ht="15" hidden="false" customHeight="false" outlineLevel="0" collapsed="false">
      <c r="J564" s="10" t="n">
        <f aca="false">IF($D564="",0,IF(AND(OR(Test!$B$4="Hepsi",$B564=Test!$B$4),OR(Test!$B$5="Hepsi",$C564=Test!$B$5)),1,0))</f>
        <v>0</v>
      </c>
      <c r="K564" s="10" t="n">
        <f aca="true">IF($J564=1,RAND(),-1)</f>
        <v>-1</v>
      </c>
      <c r="L564" s="10" t="str">
        <f aca="false">IF($J564=1,RANK($K564,$K$2:$K$1001),"")</f>
        <v/>
      </c>
    </row>
    <row r="565" customFormat="false" ht="15" hidden="false" customHeight="false" outlineLevel="0" collapsed="false">
      <c r="J565" s="10" t="n">
        <f aca="false">IF($D565="",0,IF(AND(OR(Test!$B$4="Hepsi",$B565=Test!$B$4),OR(Test!$B$5="Hepsi",$C565=Test!$B$5)),1,0))</f>
        <v>0</v>
      </c>
      <c r="K565" s="10" t="n">
        <f aca="true">IF($J565=1,RAND(),-1)</f>
        <v>-1</v>
      </c>
      <c r="L565" s="10" t="str">
        <f aca="false">IF($J565=1,RANK($K565,$K$2:$K$1001),"")</f>
        <v/>
      </c>
    </row>
    <row r="566" customFormat="false" ht="15" hidden="false" customHeight="false" outlineLevel="0" collapsed="false">
      <c r="J566" s="10" t="n">
        <f aca="false">IF($D566="",0,IF(AND(OR(Test!$B$4="Hepsi",$B566=Test!$B$4),OR(Test!$B$5="Hepsi",$C566=Test!$B$5)),1,0))</f>
        <v>0</v>
      </c>
      <c r="K566" s="10" t="n">
        <f aca="true">IF($J566=1,RAND(),-1)</f>
        <v>-1</v>
      </c>
      <c r="L566" s="10" t="str">
        <f aca="false">IF($J566=1,RANK($K566,$K$2:$K$1001),"")</f>
        <v/>
      </c>
    </row>
    <row r="567" customFormat="false" ht="15" hidden="false" customHeight="false" outlineLevel="0" collapsed="false">
      <c r="J567" s="10" t="n">
        <f aca="false">IF($D567="",0,IF(AND(OR(Test!$B$4="Hepsi",$B567=Test!$B$4),OR(Test!$B$5="Hepsi",$C567=Test!$B$5)),1,0))</f>
        <v>0</v>
      </c>
      <c r="K567" s="10" t="n">
        <f aca="true">IF($J567=1,RAND(),-1)</f>
        <v>-1</v>
      </c>
      <c r="L567" s="10" t="str">
        <f aca="false">IF($J567=1,RANK($K567,$K$2:$K$1001),"")</f>
        <v/>
      </c>
    </row>
    <row r="568" customFormat="false" ht="15" hidden="false" customHeight="false" outlineLevel="0" collapsed="false">
      <c r="J568" s="10" t="n">
        <f aca="false">IF($D568="",0,IF(AND(OR(Test!$B$4="Hepsi",$B568=Test!$B$4),OR(Test!$B$5="Hepsi",$C568=Test!$B$5)),1,0))</f>
        <v>0</v>
      </c>
      <c r="K568" s="10" t="n">
        <f aca="true">IF($J568=1,RAND(),-1)</f>
        <v>-1</v>
      </c>
      <c r="L568" s="10" t="str">
        <f aca="false">IF($J568=1,RANK($K568,$K$2:$K$1001),"")</f>
        <v/>
      </c>
    </row>
    <row r="569" customFormat="false" ht="15" hidden="false" customHeight="false" outlineLevel="0" collapsed="false">
      <c r="J569" s="10" t="n">
        <f aca="false">IF($D569="",0,IF(AND(OR(Test!$B$4="Hepsi",$B569=Test!$B$4),OR(Test!$B$5="Hepsi",$C569=Test!$B$5)),1,0))</f>
        <v>0</v>
      </c>
      <c r="K569" s="10" t="n">
        <f aca="true">IF($J569=1,RAND(),-1)</f>
        <v>-1</v>
      </c>
      <c r="L569" s="10" t="str">
        <f aca="false">IF($J569=1,RANK($K569,$K$2:$K$1001),"")</f>
        <v/>
      </c>
    </row>
    <row r="570" customFormat="false" ht="15" hidden="false" customHeight="false" outlineLevel="0" collapsed="false">
      <c r="J570" s="10" t="n">
        <f aca="false">IF($D570="",0,IF(AND(OR(Test!$B$4="Hepsi",$B570=Test!$B$4),OR(Test!$B$5="Hepsi",$C570=Test!$B$5)),1,0))</f>
        <v>0</v>
      </c>
      <c r="K570" s="10" t="n">
        <f aca="true">IF($J570=1,RAND(),-1)</f>
        <v>-1</v>
      </c>
      <c r="L570" s="10" t="str">
        <f aca="false">IF($J570=1,RANK($K570,$K$2:$K$1001),"")</f>
        <v/>
      </c>
    </row>
    <row r="571" customFormat="false" ht="15" hidden="false" customHeight="false" outlineLevel="0" collapsed="false">
      <c r="J571" s="10" t="n">
        <f aca="false">IF($D571="",0,IF(AND(OR(Test!$B$4="Hepsi",$B571=Test!$B$4),OR(Test!$B$5="Hepsi",$C571=Test!$B$5)),1,0))</f>
        <v>0</v>
      </c>
      <c r="K571" s="10" t="n">
        <f aca="true">IF($J571=1,RAND(),-1)</f>
        <v>-1</v>
      </c>
      <c r="L571" s="10" t="str">
        <f aca="false">IF($J571=1,RANK($K571,$K$2:$K$1001),"")</f>
        <v/>
      </c>
    </row>
    <row r="572" customFormat="false" ht="15" hidden="false" customHeight="false" outlineLevel="0" collapsed="false">
      <c r="J572" s="10" t="n">
        <f aca="false">IF($D572="",0,IF(AND(OR(Test!$B$4="Hepsi",$B572=Test!$B$4),OR(Test!$B$5="Hepsi",$C572=Test!$B$5)),1,0))</f>
        <v>0</v>
      </c>
      <c r="K572" s="10" t="n">
        <f aca="true">IF($J572=1,RAND(),-1)</f>
        <v>-1</v>
      </c>
      <c r="L572" s="10" t="str">
        <f aca="false">IF($J572=1,RANK($K572,$K$2:$K$1001),"")</f>
        <v/>
      </c>
    </row>
    <row r="573" customFormat="false" ht="15" hidden="false" customHeight="false" outlineLevel="0" collapsed="false">
      <c r="J573" s="10" t="n">
        <f aca="false">IF($D573="",0,IF(AND(OR(Test!$B$4="Hepsi",$B573=Test!$B$4),OR(Test!$B$5="Hepsi",$C573=Test!$B$5)),1,0))</f>
        <v>0</v>
      </c>
      <c r="K573" s="10" t="n">
        <f aca="true">IF($J573=1,RAND(),-1)</f>
        <v>-1</v>
      </c>
      <c r="L573" s="10" t="str">
        <f aca="false">IF($J573=1,RANK($K573,$K$2:$K$1001),"")</f>
        <v/>
      </c>
    </row>
    <row r="574" customFormat="false" ht="15" hidden="false" customHeight="false" outlineLevel="0" collapsed="false">
      <c r="J574" s="10" t="n">
        <f aca="false">IF($D574="",0,IF(AND(OR(Test!$B$4="Hepsi",$B574=Test!$B$4),OR(Test!$B$5="Hepsi",$C574=Test!$B$5)),1,0))</f>
        <v>0</v>
      </c>
      <c r="K574" s="10" t="n">
        <f aca="true">IF($J574=1,RAND(),-1)</f>
        <v>-1</v>
      </c>
      <c r="L574" s="10" t="str">
        <f aca="false">IF($J574=1,RANK($K574,$K$2:$K$1001),"")</f>
        <v/>
      </c>
    </row>
    <row r="575" customFormat="false" ht="15" hidden="false" customHeight="false" outlineLevel="0" collapsed="false">
      <c r="J575" s="10" t="n">
        <f aca="false">IF($D575="",0,IF(AND(OR(Test!$B$4="Hepsi",$B575=Test!$B$4),OR(Test!$B$5="Hepsi",$C575=Test!$B$5)),1,0))</f>
        <v>0</v>
      </c>
      <c r="K575" s="10" t="n">
        <f aca="true">IF($J575=1,RAND(),-1)</f>
        <v>-1</v>
      </c>
      <c r="L575" s="10" t="str">
        <f aca="false">IF($J575=1,RANK($K575,$K$2:$K$1001),"")</f>
        <v/>
      </c>
    </row>
    <row r="576" customFormat="false" ht="15" hidden="false" customHeight="false" outlineLevel="0" collapsed="false">
      <c r="J576" s="10" t="n">
        <f aca="false">IF($D576="",0,IF(AND(OR(Test!$B$4="Hepsi",$B576=Test!$B$4),OR(Test!$B$5="Hepsi",$C576=Test!$B$5)),1,0))</f>
        <v>0</v>
      </c>
      <c r="K576" s="10" t="n">
        <f aca="true">IF($J576=1,RAND(),-1)</f>
        <v>-1</v>
      </c>
      <c r="L576" s="10" t="str">
        <f aca="false">IF($J576=1,RANK($K576,$K$2:$K$1001),"")</f>
        <v/>
      </c>
    </row>
    <row r="577" customFormat="false" ht="15" hidden="false" customHeight="false" outlineLevel="0" collapsed="false">
      <c r="J577" s="10" t="n">
        <f aca="false">IF($D577="",0,IF(AND(OR(Test!$B$4="Hepsi",$B577=Test!$B$4),OR(Test!$B$5="Hepsi",$C577=Test!$B$5)),1,0))</f>
        <v>0</v>
      </c>
      <c r="K577" s="10" t="n">
        <f aca="true">IF($J577=1,RAND(),-1)</f>
        <v>-1</v>
      </c>
      <c r="L577" s="10" t="str">
        <f aca="false">IF($J577=1,RANK($K577,$K$2:$K$1001),"")</f>
        <v/>
      </c>
    </row>
    <row r="578" customFormat="false" ht="15" hidden="false" customHeight="false" outlineLevel="0" collapsed="false">
      <c r="J578" s="10" t="n">
        <f aca="false">IF($D578="",0,IF(AND(OR(Test!$B$4="Hepsi",$B578=Test!$B$4),OR(Test!$B$5="Hepsi",$C578=Test!$B$5)),1,0))</f>
        <v>0</v>
      </c>
      <c r="K578" s="10" t="n">
        <f aca="true">IF($J578=1,RAND(),-1)</f>
        <v>-1</v>
      </c>
      <c r="L578" s="10" t="str">
        <f aca="false">IF($J578=1,RANK($K578,$K$2:$K$1001),"")</f>
        <v/>
      </c>
    </row>
    <row r="579" customFormat="false" ht="15" hidden="false" customHeight="false" outlineLevel="0" collapsed="false">
      <c r="J579" s="10" t="n">
        <f aca="false">IF($D579="",0,IF(AND(OR(Test!$B$4="Hepsi",$B579=Test!$B$4),OR(Test!$B$5="Hepsi",$C579=Test!$B$5)),1,0))</f>
        <v>0</v>
      </c>
      <c r="K579" s="10" t="n">
        <f aca="true">IF($J579=1,RAND(),-1)</f>
        <v>-1</v>
      </c>
      <c r="L579" s="10" t="str">
        <f aca="false">IF($J579=1,RANK($K579,$K$2:$K$1001),"")</f>
        <v/>
      </c>
    </row>
    <row r="580" customFormat="false" ht="15" hidden="false" customHeight="false" outlineLevel="0" collapsed="false">
      <c r="J580" s="10" t="n">
        <f aca="false">IF($D580="",0,IF(AND(OR(Test!$B$4="Hepsi",$B580=Test!$B$4),OR(Test!$B$5="Hepsi",$C580=Test!$B$5)),1,0))</f>
        <v>0</v>
      </c>
      <c r="K580" s="10" t="n">
        <f aca="true">IF($J580=1,RAND(),-1)</f>
        <v>-1</v>
      </c>
      <c r="L580" s="10" t="str">
        <f aca="false">IF($J580=1,RANK($K580,$K$2:$K$1001),"")</f>
        <v/>
      </c>
    </row>
    <row r="581" customFormat="false" ht="15" hidden="false" customHeight="false" outlineLevel="0" collapsed="false">
      <c r="J581" s="10" t="n">
        <f aca="false">IF($D581="",0,IF(AND(OR(Test!$B$4="Hepsi",$B581=Test!$B$4),OR(Test!$B$5="Hepsi",$C581=Test!$B$5)),1,0))</f>
        <v>0</v>
      </c>
      <c r="K581" s="10" t="n">
        <f aca="true">IF($J581=1,RAND(),-1)</f>
        <v>-1</v>
      </c>
      <c r="L581" s="10" t="str">
        <f aca="false">IF($J581=1,RANK($K581,$K$2:$K$1001),"")</f>
        <v/>
      </c>
    </row>
    <row r="582" customFormat="false" ht="15" hidden="false" customHeight="false" outlineLevel="0" collapsed="false">
      <c r="J582" s="10" t="n">
        <f aca="false">IF($D582="",0,IF(AND(OR(Test!$B$4="Hepsi",$B582=Test!$B$4),OR(Test!$B$5="Hepsi",$C582=Test!$B$5)),1,0))</f>
        <v>0</v>
      </c>
      <c r="K582" s="10" t="n">
        <f aca="true">IF($J582=1,RAND(),-1)</f>
        <v>-1</v>
      </c>
      <c r="L582" s="10" t="str">
        <f aca="false">IF($J582=1,RANK($K582,$K$2:$K$1001),"")</f>
        <v/>
      </c>
    </row>
    <row r="583" customFormat="false" ht="15" hidden="false" customHeight="false" outlineLevel="0" collapsed="false">
      <c r="J583" s="10" t="n">
        <f aca="false">IF($D583="",0,IF(AND(OR(Test!$B$4="Hepsi",$B583=Test!$B$4),OR(Test!$B$5="Hepsi",$C583=Test!$B$5)),1,0))</f>
        <v>0</v>
      </c>
      <c r="K583" s="10" t="n">
        <f aca="true">IF($J583=1,RAND(),-1)</f>
        <v>-1</v>
      </c>
      <c r="L583" s="10" t="str">
        <f aca="false">IF($J583=1,RANK($K583,$K$2:$K$1001),"")</f>
        <v/>
      </c>
    </row>
    <row r="584" customFormat="false" ht="15" hidden="false" customHeight="false" outlineLevel="0" collapsed="false">
      <c r="J584" s="10" t="n">
        <f aca="false">IF($D584="",0,IF(AND(OR(Test!$B$4="Hepsi",$B584=Test!$B$4),OR(Test!$B$5="Hepsi",$C584=Test!$B$5)),1,0))</f>
        <v>0</v>
      </c>
      <c r="K584" s="10" t="n">
        <f aca="true">IF($J584=1,RAND(),-1)</f>
        <v>-1</v>
      </c>
      <c r="L584" s="10" t="str">
        <f aca="false">IF($J584=1,RANK($K584,$K$2:$K$1001),"")</f>
        <v/>
      </c>
    </row>
    <row r="585" customFormat="false" ht="15" hidden="false" customHeight="false" outlineLevel="0" collapsed="false">
      <c r="J585" s="10" t="n">
        <f aca="false">IF($D585="",0,IF(AND(OR(Test!$B$4="Hepsi",$B585=Test!$B$4),OR(Test!$B$5="Hepsi",$C585=Test!$B$5)),1,0))</f>
        <v>0</v>
      </c>
      <c r="K585" s="10" t="n">
        <f aca="true">IF($J585=1,RAND(),-1)</f>
        <v>-1</v>
      </c>
      <c r="L585" s="10" t="str">
        <f aca="false">IF($J585=1,RANK($K585,$K$2:$K$1001),"")</f>
        <v/>
      </c>
    </row>
    <row r="586" customFormat="false" ht="15" hidden="false" customHeight="false" outlineLevel="0" collapsed="false">
      <c r="J586" s="10" t="n">
        <f aca="false">IF($D586="",0,IF(AND(OR(Test!$B$4="Hepsi",$B586=Test!$B$4),OR(Test!$B$5="Hepsi",$C586=Test!$B$5)),1,0))</f>
        <v>0</v>
      </c>
      <c r="K586" s="10" t="n">
        <f aca="true">IF($J586=1,RAND(),-1)</f>
        <v>-1</v>
      </c>
      <c r="L586" s="10" t="str">
        <f aca="false">IF($J586=1,RANK($K586,$K$2:$K$1001),"")</f>
        <v/>
      </c>
    </row>
    <row r="587" customFormat="false" ht="15" hidden="false" customHeight="false" outlineLevel="0" collapsed="false">
      <c r="J587" s="10" t="n">
        <f aca="false">IF($D587="",0,IF(AND(OR(Test!$B$4="Hepsi",$B587=Test!$B$4),OR(Test!$B$5="Hepsi",$C587=Test!$B$5)),1,0))</f>
        <v>0</v>
      </c>
      <c r="K587" s="10" t="n">
        <f aca="true">IF($J587=1,RAND(),-1)</f>
        <v>-1</v>
      </c>
      <c r="L587" s="10" t="str">
        <f aca="false">IF($J587=1,RANK($K587,$K$2:$K$1001),"")</f>
        <v/>
      </c>
    </row>
    <row r="588" customFormat="false" ht="15" hidden="false" customHeight="false" outlineLevel="0" collapsed="false">
      <c r="J588" s="10" t="n">
        <f aca="false">IF($D588="",0,IF(AND(OR(Test!$B$4="Hepsi",$B588=Test!$B$4),OR(Test!$B$5="Hepsi",$C588=Test!$B$5)),1,0))</f>
        <v>0</v>
      </c>
      <c r="K588" s="10" t="n">
        <f aca="true">IF($J588=1,RAND(),-1)</f>
        <v>-1</v>
      </c>
      <c r="L588" s="10" t="str">
        <f aca="false">IF($J588=1,RANK($K588,$K$2:$K$1001),"")</f>
        <v/>
      </c>
    </row>
    <row r="589" customFormat="false" ht="15" hidden="false" customHeight="false" outlineLevel="0" collapsed="false">
      <c r="J589" s="10" t="n">
        <f aca="false">IF($D589="",0,IF(AND(OR(Test!$B$4="Hepsi",$B589=Test!$B$4),OR(Test!$B$5="Hepsi",$C589=Test!$B$5)),1,0))</f>
        <v>0</v>
      </c>
      <c r="K589" s="10" t="n">
        <f aca="true">IF($J589=1,RAND(),-1)</f>
        <v>-1</v>
      </c>
      <c r="L589" s="10" t="str">
        <f aca="false">IF($J589=1,RANK($K589,$K$2:$K$1001),"")</f>
        <v/>
      </c>
    </row>
    <row r="590" customFormat="false" ht="15" hidden="false" customHeight="false" outlineLevel="0" collapsed="false">
      <c r="J590" s="10" t="n">
        <f aca="false">IF($D590="",0,IF(AND(OR(Test!$B$4="Hepsi",$B590=Test!$B$4),OR(Test!$B$5="Hepsi",$C590=Test!$B$5)),1,0))</f>
        <v>0</v>
      </c>
      <c r="K590" s="10" t="n">
        <f aca="true">IF($J590=1,RAND(),-1)</f>
        <v>-1</v>
      </c>
      <c r="L590" s="10" t="str">
        <f aca="false">IF($J590=1,RANK($K590,$K$2:$K$1001),"")</f>
        <v/>
      </c>
    </row>
    <row r="591" customFormat="false" ht="15" hidden="false" customHeight="false" outlineLevel="0" collapsed="false">
      <c r="J591" s="10" t="n">
        <f aca="false">IF($D591="",0,IF(AND(OR(Test!$B$4="Hepsi",$B591=Test!$B$4),OR(Test!$B$5="Hepsi",$C591=Test!$B$5)),1,0))</f>
        <v>0</v>
      </c>
      <c r="K591" s="10" t="n">
        <f aca="true">IF($J591=1,RAND(),-1)</f>
        <v>-1</v>
      </c>
      <c r="L591" s="10" t="str">
        <f aca="false">IF($J591=1,RANK($K591,$K$2:$K$1001),"")</f>
        <v/>
      </c>
    </row>
    <row r="592" customFormat="false" ht="15" hidden="false" customHeight="false" outlineLevel="0" collapsed="false">
      <c r="J592" s="10" t="n">
        <f aca="false">IF($D592="",0,IF(AND(OR(Test!$B$4="Hepsi",$B592=Test!$B$4),OR(Test!$B$5="Hepsi",$C592=Test!$B$5)),1,0))</f>
        <v>0</v>
      </c>
      <c r="K592" s="10" t="n">
        <f aca="true">IF($J592=1,RAND(),-1)</f>
        <v>-1</v>
      </c>
      <c r="L592" s="10" t="str">
        <f aca="false">IF($J592=1,RANK($K592,$K$2:$K$1001),"")</f>
        <v/>
      </c>
    </row>
    <row r="593" customFormat="false" ht="15" hidden="false" customHeight="false" outlineLevel="0" collapsed="false">
      <c r="J593" s="10" t="n">
        <f aca="false">IF($D593="",0,IF(AND(OR(Test!$B$4="Hepsi",$B593=Test!$B$4),OR(Test!$B$5="Hepsi",$C593=Test!$B$5)),1,0))</f>
        <v>0</v>
      </c>
      <c r="K593" s="10" t="n">
        <f aca="true">IF($J593=1,RAND(),-1)</f>
        <v>-1</v>
      </c>
      <c r="L593" s="10" t="str">
        <f aca="false">IF($J593=1,RANK($K593,$K$2:$K$1001),"")</f>
        <v/>
      </c>
    </row>
    <row r="594" customFormat="false" ht="15" hidden="false" customHeight="false" outlineLevel="0" collapsed="false">
      <c r="J594" s="10" t="n">
        <f aca="false">IF($D594="",0,IF(AND(OR(Test!$B$4="Hepsi",$B594=Test!$B$4),OR(Test!$B$5="Hepsi",$C594=Test!$B$5)),1,0))</f>
        <v>0</v>
      </c>
      <c r="K594" s="10" t="n">
        <f aca="true">IF($J594=1,RAND(),-1)</f>
        <v>-1</v>
      </c>
      <c r="L594" s="10" t="str">
        <f aca="false">IF($J594=1,RANK($K594,$K$2:$K$1001),"")</f>
        <v/>
      </c>
    </row>
    <row r="595" customFormat="false" ht="15" hidden="false" customHeight="false" outlineLevel="0" collapsed="false">
      <c r="J595" s="10" t="n">
        <f aca="false">IF($D595="",0,IF(AND(OR(Test!$B$4="Hepsi",$B595=Test!$B$4),OR(Test!$B$5="Hepsi",$C595=Test!$B$5)),1,0))</f>
        <v>0</v>
      </c>
      <c r="K595" s="10" t="n">
        <f aca="true">IF($J595=1,RAND(),-1)</f>
        <v>-1</v>
      </c>
      <c r="L595" s="10" t="str">
        <f aca="false">IF($J595=1,RANK($K595,$K$2:$K$1001),"")</f>
        <v/>
      </c>
    </row>
    <row r="596" customFormat="false" ht="15" hidden="false" customHeight="false" outlineLevel="0" collapsed="false">
      <c r="J596" s="10" t="n">
        <f aca="false">IF($D596="",0,IF(AND(OR(Test!$B$4="Hepsi",$B596=Test!$B$4),OR(Test!$B$5="Hepsi",$C596=Test!$B$5)),1,0))</f>
        <v>0</v>
      </c>
      <c r="K596" s="10" t="n">
        <f aca="true">IF($J596=1,RAND(),-1)</f>
        <v>-1</v>
      </c>
      <c r="L596" s="10" t="str">
        <f aca="false">IF($J596=1,RANK($K596,$K$2:$K$1001),"")</f>
        <v/>
      </c>
    </row>
    <row r="597" customFormat="false" ht="15" hidden="false" customHeight="false" outlineLevel="0" collapsed="false">
      <c r="J597" s="10" t="n">
        <f aca="false">IF($D597="",0,IF(AND(OR(Test!$B$4="Hepsi",$B597=Test!$B$4),OR(Test!$B$5="Hepsi",$C597=Test!$B$5)),1,0))</f>
        <v>0</v>
      </c>
      <c r="K597" s="10" t="n">
        <f aca="true">IF($J597=1,RAND(),-1)</f>
        <v>-1</v>
      </c>
      <c r="L597" s="10" t="str">
        <f aca="false">IF($J597=1,RANK($K597,$K$2:$K$1001),"")</f>
        <v/>
      </c>
    </row>
    <row r="598" customFormat="false" ht="15" hidden="false" customHeight="false" outlineLevel="0" collapsed="false">
      <c r="J598" s="10" t="n">
        <f aca="false">IF($D598="",0,IF(AND(OR(Test!$B$4="Hepsi",$B598=Test!$B$4),OR(Test!$B$5="Hepsi",$C598=Test!$B$5)),1,0))</f>
        <v>0</v>
      </c>
      <c r="K598" s="10" t="n">
        <f aca="true">IF($J598=1,RAND(),-1)</f>
        <v>-1</v>
      </c>
      <c r="L598" s="10" t="str">
        <f aca="false">IF($J598=1,RANK($K598,$K$2:$K$1001),"")</f>
        <v/>
      </c>
    </row>
    <row r="599" customFormat="false" ht="15" hidden="false" customHeight="false" outlineLevel="0" collapsed="false">
      <c r="J599" s="10" t="n">
        <f aca="false">IF($D599="",0,IF(AND(OR(Test!$B$4="Hepsi",$B599=Test!$B$4),OR(Test!$B$5="Hepsi",$C599=Test!$B$5)),1,0))</f>
        <v>0</v>
      </c>
      <c r="K599" s="10" t="n">
        <f aca="true">IF($J599=1,RAND(),-1)</f>
        <v>-1</v>
      </c>
      <c r="L599" s="10" t="str">
        <f aca="false">IF($J599=1,RANK($K599,$K$2:$K$1001),"")</f>
        <v/>
      </c>
    </row>
    <row r="600" customFormat="false" ht="15" hidden="false" customHeight="false" outlineLevel="0" collapsed="false">
      <c r="J600" s="10" t="n">
        <f aca="false">IF($D600="",0,IF(AND(OR(Test!$B$4="Hepsi",$B600=Test!$B$4),OR(Test!$B$5="Hepsi",$C600=Test!$B$5)),1,0))</f>
        <v>0</v>
      </c>
      <c r="K600" s="10" t="n">
        <f aca="true">IF($J600=1,RAND(),-1)</f>
        <v>-1</v>
      </c>
      <c r="L600" s="10" t="str">
        <f aca="false">IF($J600=1,RANK($K600,$K$2:$K$1001),"")</f>
        <v/>
      </c>
    </row>
    <row r="601" customFormat="false" ht="15" hidden="false" customHeight="false" outlineLevel="0" collapsed="false">
      <c r="J601" s="10" t="n">
        <f aca="false">IF($D601="",0,IF(AND(OR(Test!$B$4="Hepsi",$B601=Test!$B$4),OR(Test!$B$5="Hepsi",$C601=Test!$B$5)),1,0))</f>
        <v>0</v>
      </c>
      <c r="K601" s="10" t="n">
        <f aca="true">IF($J601=1,RAND(),-1)</f>
        <v>-1</v>
      </c>
      <c r="L601" s="10" t="str">
        <f aca="false">IF($J601=1,RANK($K601,$K$2:$K$1001),"")</f>
        <v/>
      </c>
    </row>
    <row r="602" customFormat="false" ht="15" hidden="false" customHeight="false" outlineLevel="0" collapsed="false">
      <c r="J602" s="10" t="n">
        <f aca="false">IF($D602="",0,IF(AND(OR(Test!$B$4="Hepsi",$B602=Test!$B$4),OR(Test!$B$5="Hepsi",$C602=Test!$B$5)),1,0))</f>
        <v>0</v>
      </c>
      <c r="K602" s="10" t="n">
        <f aca="true">IF($J602=1,RAND(),-1)</f>
        <v>-1</v>
      </c>
      <c r="L602" s="10" t="str">
        <f aca="false">IF($J602=1,RANK($K602,$K$2:$K$1001),"")</f>
        <v/>
      </c>
    </row>
    <row r="603" customFormat="false" ht="15" hidden="false" customHeight="false" outlineLevel="0" collapsed="false">
      <c r="J603" s="10" t="n">
        <f aca="false">IF($D603="",0,IF(AND(OR(Test!$B$4="Hepsi",$B603=Test!$B$4),OR(Test!$B$5="Hepsi",$C603=Test!$B$5)),1,0))</f>
        <v>0</v>
      </c>
      <c r="K603" s="10" t="n">
        <f aca="true">IF($J603=1,RAND(),-1)</f>
        <v>-1</v>
      </c>
      <c r="L603" s="10" t="str">
        <f aca="false">IF($J603=1,RANK($K603,$K$2:$K$1001),"")</f>
        <v/>
      </c>
    </row>
    <row r="604" customFormat="false" ht="15" hidden="false" customHeight="false" outlineLevel="0" collapsed="false">
      <c r="J604" s="10" t="n">
        <f aca="false">IF($D604="",0,IF(AND(OR(Test!$B$4="Hepsi",$B604=Test!$B$4),OR(Test!$B$5="Hepsi",$C604=Test!$B$5)),1,0))</f>
        <v>0</v>
      </c>
      <c r="K604" s="10" t="n">
        <f aca="true">IF($J604=1,RAND(),-1)</f>
        <v>-1</v>
      </c>
      <c r="L604" s="10" t="str">
        <f aca="false">IF($J604=1,RANK($K604,$K$2:$K$1001),"")</f>
        <v/>
      </c>
    </row>
    <row r="605" customFormat="false" ht="15" hidden="false" customHeight="false" outlineLevel="0" collapsed="false">
      <c r="J605" s="10" t="n">
        <f aca="false">IF($D605="",0,IF(AND(OR(Test!$B$4="Hepsi",$B605=Test!$B$4),OR(Test!$B$5="Hepsi",$C605=Test!$B$5)),1,0))</f>
        <v>0</v>
      </c>
      <c r="K605" s="10" t="n">
        <f aca="true">IF($J605=1,RAND(),-1)</f>
        <v>-1</v>
      </c>
      <c r="L605" s="10" t="str">
        <f aca="false">IF($J605=1,RANK($K605,$K$2:$K$1001),"")</f>
        <v/>
      </c>
    </row>
    <row r="606" customFormat="false" ht="15" hidden="false" customHeight="false" outlineLevel="0" collapsed="false">
      <c r="J606" s="10" t="n">
        <f aca="false">IF($D606="",0,IF(AND(OR(Test!$B$4="Hepsi",$B606=Test!$B$4),OR(Test!$B$5="Hepsi",$C606=Test!$B$5)),1,0))</f>
        <v>0</v>
      </c>
      <c r="K606" s="10" t="n">
        <f aca="true">IF($J606=1,RAND(),-1)</f>
        <v>-1</v>
      </c>
      <c r="L606" s="10" t="str">
        <f aca="false">IF($J606=1,RANK($K606,$K$2:$K$1001),"")</f>
        <v/>
      </c>
    </row>
    <row r="607" customFormat="false" ht="15" hidden="false" customHeight="false" outlineLevel="0" collapsed="false">
      <c r="J607" s="10" t="n">
        <f aca="false">IF($D607="",0,IF(AND(OR(Test!$B$4="Hepsi",$B607=Test!$B$4),OR(Test!$B$5="Hepsi",$C607=Test!$B$5)),1,0))</f>
        <v>0</v>
      </c>
      <c r="K607" s="10" t="n">
        <f aca="true">IF($J607=1,RAND(),-1)</f>
        <v>-1</v>
      </c>
      <c r="L607" s="10" t="str">
        <f aca="false">IF($J607=1,RANK($K607,$K$2:$K$1001),"")</f>
        <v/>
      </c>
    </row>
    <row r="608" customFormat="false" ht="15" hidden="false" customHeight="false" outlineLevel="0" collapsed="false">
      <c r="J608" s="10" t="n">
        <f aca="false">IF($D608="",0,IF(AND(OR(Test!$B$4="Hepsi",$B608=Test!$B$4),OR(Test!$B$5="Hepsi",$C608=Test!$B$5)),1,0))</f>
        <v>0</v>
      </c>
      <c r="K608" s="10" t="n">
        <f aca="true">IF($J608=1,RAND(),-1)</f>
        <v>-1</v>
      </c>
      <c r="L608" s="10" t="str">
        <f aca="false">IF($J608=1,RANK($K608,$K$2:$K$1001),"")</f>
        <v/>
      </c>
    </row>
    <row r="609" customFormat="false" ht="15" hidden="false" customHeight="false" outlineLevel="0" collapsed="false">
      <c r="J609" s="10" t="n">
        <f aca="false">IF($D609="",0,IF(AND(OR(Test!$B$4="Hepsi",$B609=Test!$B$4),OR(Test!$B$5="Hepsi",$C609=Test!$B$5)),1,0))</f>
        <v>0</v>
      </c>
      <c r="K609" s="10" t="n">
        <f aca="true">IF($J609=1,RAND(),-1)</f>
        <v>-1</v>
      </c>
      <c r="L609" s="10" t="str">
        <f aca="false">IF($J609=1,RANK($K609,$K$2:$K$1001),"")</f>
        <v/>
      </c>
    </row>
    <row r="610" customFormat="false" ht="15" hidden="false" customHeight="false" outlineLevel="0" collapsed="false">
      <c r="J610" s="10" t="n">
        <f aca="false">IF($D610="",0,IF(AND(OR(Test!$B$4="Hepsi",$B610=Test!$B$4),OR(Test!$B$5="Hepsi",$C610=Test!$B$5)),1,0))</f>
        <v>0</v>
      </c>
      <c r="K610" s="10" t="n">
        <f aca="true">IF($J610=1,RAND(),-1)</f>
        <v>-1</v>
      </c>
      <c r="L610" s="10" t="str">
        <f aca="false">IF($J610=1,RANK($K610,$K$2:$K$1001),"")</f>
        <v/>
      </c>
    </row>
    <row r="611" customFormat="false" ht="15" hidden="false" customHeight="false" outlineLevel="0" collapsed="false">
      <c r="J611" s="10" t="n">
        <f aca="false">IF($D611="",0,IF(AND(OR(Test!$B$4="Hepsi",$B611=Test!$B$4),OR(Test!$B$5="Hepsi",$C611=Test!$B$5)),1,0))</f>
        <v>0</v>
      </c>
      <c r="K611" s="10" t="n">
        <f aca="true">IF($J611=1,RAND(),-1)</f>
        <v>-1</v>
      </c>
      <c r="L611" s="10" t="str">
        <f aca="false">IF($J611=1,RANK($K611,$K$2:$K$1001),"")</f>
        <v/>
      </c>
    </row>
    <row r="612" customFormat="false" ht="15" hidden="false" customHeight="false" outlineLevel="0" collapsed="false">
      <c r="J612" s="10" t="n">
        <f aca="false">IF($D612="",0,IF(AND(OR(Test!$B$4="Hepsi",$B612=Test!$B$4),OR(Test!$B$5="Hepsi",$C612=Test!$B$5)),1,0))</f>
        <v>0</v>
      </c>
      <c r="K612" s="10" t="n">
        <f aca="true">IF($J612=1,RAND(),-1)</f>
        <v>-1</v>
      </c>
      <c r="L612" s="10" t="str">
        <f aca="false">IF($J612=1,RANK($K612,$K$2:$K$1001),"")</f>
        <v/>
      </c>
    </row>
    <row r="613" customFormat="false" ht="15" hidden="false" customHeight="false" outlineLevel="0" collapsed="false">
      <c r="J613" s="10" t="n">
        <f aca="false">IF($D613="",0,IF(AND(OR(Test!$B$4="Hepsi",$B613=Test!$B$4),OR(Test!$B$5="Hepsi",$C613=Test!$B$5)),1,0))</f>
        <v>0</v>
      </c>
      <c r="K613" s="10" t="n">
        <f aca="true">IF($J613=1,RAND(),-1)</f>
        <v>-1</v>
      </c>
      <c r="L613" s="10" t="str">
        <f aca="false">IF($J613=1,RANK($K613,$K$2:$K$1001),"")</f>
        <v/>
      </c>
    </row>
    <row r="614" customFormat="false" ht="15" hidden="false" customHeight="false" outlineLevel="0" collapsed="false">
      <c r="J614" s="10" t="n">
        <f aca="false">IF($D614="",0,IF(AND(OR(Test!$B$4="Hepsi",$B614=Test!$B$4),OR(Test!$B$5="Hepsi",$C614=Test!$B$5)),1,0))</f>
        <v>0</v>
      </c>
      <c r="K614" s="10" t="n">
        <f aca="true">IF($J614=1,RAND(),-1)</f>
        <v>-1</v>
      </c>
      <c r="L614" s="10" t="str">
        <f aca="false">IF($J614=1,RANK($K614,$K$2:$K$1001),"")</f>
        <v/>
      </c>
    </row>
    <row r="615" customFormat="false" ht="15" hidden="false" customHeight="false" outlineLevel="0" collapsed="false">
      <c r="J615" s="10" t="n">
        <f aca="false">IF($D615="",0,IF(AND(OR(Test!$B$4="Hepsi",$B615=Test!$B$4),OR(Test!$B$5="Hepsi",$C615=Test!$B$5)),1,0))</f>
        <v>0</v>
      </c>
      <c r="K615" s="10" t="n">
        <f aca="true">IF($J615=1,RAND(),-1)</f>
        <v>-1</v>
      </c>
      <c r="L615" s="10" t="str">
        <f aca="false">IF($J615=1,RANK($K615,$K$2:$K$1001),"")</f>
        <v/>
      </c>
    </row>
    <row r="616" customFormat="false" ht="15" hidden="false" customHeight="false" outlineLevel="0" collapsed="false">
      <c r="J616" s="10" t="n">
        <f aca="false">IF($D616="",0,IF(AND(OR(Test!$B$4="Hepsi",$B616=Test!$B$4),OR(Test!$B$5="Hepsi",$C616=Test!$B$5)),1,0))</f>
        <v>0</v>
      </c>
      <c r="K616" s="10" t="n">
        <f aca="true">IF($J616=1,RAND(),-1)</f>
        <v>-1</v>
      </c>
      <c r="L616" s="10" t="str">
        <f aca="false">IF($J616=1,RANK($K616,$K$2:$K$1001),"")</f>
        <v/>
      </c>
    </row>
    <row r="617" customFormat="false" ht="15" hidden="false" customHeight="false" outlineLevel="0" collapsed="false">
      <c r="J617" s="10" t="n">
        <f aca="false">IF($D617="",0,IF(AND(OR(Test!$B$4="Hepsi",$B617=Test!$B$4),OR(Test!$B$5="Hepsi",$C617=Test!$B$5)),1,0))</f>
        <v>0</v>
      </c>
      <c r="K617" s="10" t="n">
        <f aca="true">IF($J617=1,RAND(),-1)</f>
        <v>-1</v>
      </c>
      <c r="L617" s="10" t="str">
        <f aca="false">IF($J617=1,RANK($K617,$K$2:$K$1001),"")</f>
        <v/>
      </c>
    </row>
    <row r="618" customFormat="false" ht="15" hidden="false" customHeight="false" outlineLevel="0" collapsed="false">
      <c r="J618" s="10" t="n">
        <f aca="false">IF($D618="",0,IF(AND(OR(Test!$B$4="Hepsi",$B618=Test!$B$4),OR(Test!$B$5="Hepsi",$C618=Test!$B$5)),1,0))</f>
        <v>0</v>
      </c>
      <c r="K618" s="10" t="n">
        <f aca="true">IF($J618=1,RAND(),-1)</f>
        <v>-1</v>
      </c>
      <c r="L618" s="10" t="str">
        <f aca="false">IF($J618=1,RANK($K618,$K$2:$K$1001),"")</f>
        <v/>
      </c>
    </row>
    <row r="619" customFormat="false" ht="15" hidden="false" customHeight="false" outlineLevel="0" collapsed="false">
      <c r="J619" s="10" t="n">
        <f aca="false">IF($D619="",0,IF(AND(OR(Test!$B$4="Hepsi",$B619=Test!$B$4),OR(Test!$B$5="Hepsi",$C619=Test!$B$5)),1,0))</f>
        <v>0</v>
      </c>
      <c r="K619" s="10" t="n">
        <f aca="true">IF($J619=1,RAND(),-1)</f>
        <v>-1</v>
      </c>
      <c r="L619" s="10" t="str">
        <f aca="false">IF($J619=1,RANK($K619,$K$2:$K$1001),"")</f>
        <v/>
      </c>
    </row>
    <row r="620" customFormat="false" ht="15" hidden="false" customHeight="false" outlineLevel="0" collapsed="false">
      <c r="J620" s="10" t="n">
        <f aca="false">IF($D620="",0,IF(AND(OR(Test!$B$4="Hepsi",$B620=Test!$B$4),OR(Test!$B$5="Hepsi",$C620=Test!$B$5)),1,0))</f>
        <v>0</v>
      </c>
      <c r="K620" s="10" t="n">
        <f aca="true">IF($J620=1,RAND(),-1)</f>
        <v>-1</v>
      </c>
      <c r="L620" s="10" t="str">
        <f aca="false">IF($J620=1,RANK($K620,$K$2:$K$1001),"")</f>
        <v/>
      </c>
    </row>
    <row r="621" customFormat="false" ht="15" hidden="false" customHeight="false" outlineLevel="0" collapsed="false">
      <c r="J621" s="10" t="n">
        <f aca="false">IF($D621="",0,IF(AND(OR(Test!$B$4="Hepsi",$B621=Test!$B$4),OR(Test!$B$5="Hepsi",$C621=Test!$B$5)),1,0))</f>
        <v>0</v>
      </c>
      <c r="K621" s="10" t="n">
        <f aca="true">IF($J621=1,RAND(),-1)</f>
        <v>-1</v>
      </c>
      <c r="L621" s="10" t="str">
        <f aca="false">IF($J621=1,RANK($K621,$K$2:$K$1001),"")</f>
        <v/>
      </c>
    </row>
    <row r="622" customFormat="false" ht="15" hidden="false" customHeight="false" outlineLevel="0" collapsed="false">
      <c r="J622" s="10" t="n">
        <f aca="false">IF($D622="",0,IF(AND(OR(Test!$B$4="Hepsi",$B622=Test!$B$4),OR(Test!$B$5="Hepsi",$C622=Test!$B$5)),1,0))</f>
        <v>0</v>
      </c>
      <c r="K622" s="10" t="n">
        <f aca="true">IF($J622=1,RAND(),-1)</f>
        <v>-1</v>
      </c>
      <c r="L622" s="10" t="str">
        <f aca="false">IF($J622=1,RANK($K622,$K$2:$K$1001),"")</f>
        <v/>
      </c>
    </row>
    <row r="623" customFormat="false" ht="15" hidden="false" customHeight="false" outlineLevel="0" collapsed="false">
      <c r="J623" s="10" t="n">
        <f aca="false">IF($D623="",0,IF(AND(OR(Test!$B$4="Hepsi",$B623=Test!$B$4),OR(Test!$B$5="Hepsi",$C623=Test!$B$5)),1,0))</f>
        <v>0</v>
      </c>
      <c r="K623" s="10" t="n">
        <f aca="true">IF($J623=1,RAND(),-1)</f>
        <v>-1</v>
      </c>
      <c r="L623" s="10" t="str">
        <f aca="false">IF($J623=1,RANK($K623,$K$2:$K$1001),"")</f>
        <v/>
      </c>
    </row>
    <row r="624" customFormat="false" ht="15" hidden="false" customHeight="false" outlineLevel="0" collapsed="false">
      <c r="J624" s="10" t="n">
        <f aca="false">IF($D624="",0,IF(AND(OR(Test!$B$4="Hepsi",$B624=Test!$B$4),OR(Test!$B$5="Hepsi",$C624=Test!$B$5)),1,0))</f>
        <v>0</v>
      </c>
      <c r="K624" s="10" t="n">
        <f aca="true">IF($J624=1,RAND(),-1)</f>
        <v>-1</v>
      </c>
      <c r="L624" s="10" t="str">
        <f aca="false">IF($J624=1,RANK($K624,$K$2:$K$1001),"")</f>
        <v/>
      </c>
    </row>
    <row r="625" customFormat="false" ht="15" hidden="false" customHeight="false" outlineLevel="0" collapsed="false">
      <c r="J625" s="10" t="n">
        <f aca="false">IF($D625="",0,IF(AND(OR(Test!$B$4="Hepsi",$B625=Test!$B$4),OR(Test!$B$5="Hepsi",$C625=Test!$B$5)),1,0))</f>
        <v>0</v>
      </c>
      <c r="K625" s="10" t="n">
        <f aca="true">IF($J625=1,RAND(),-1)</f>
        <v>-1</v>
      </c>
      <c r="L625" s="10" t="str">
        <f aca="false">IF($J625=1,RANK($K625,$K$2:$K$1001),"")</f>
        <v/>
      </c>
    </row>
    <row r="626" customFormat="false" ht="15" hidden="false" customHeight="false" outlineLevel="0" collapsed="false">
      <c r="J626" s="10" t="n">
        <f aca="false">IF($D626="",0,IF(AND(OR(Test!$B$4="Hepsi",$B626=Test!$B$4),OR(Test!$B$5="Hepsi",$C626=Test!$B$5)),1,0))</f>
        <v>0</v>
      </c>
      <c r="K626" s="10" t="n">
        <f aca="true">IF($J626=1,RAND(),-1)</f>
        <v>-1</v>
      </c>
      <c r="L626" s="10" t="str">
        <f aca="false">IF($J626=1,RANK($K626,$K$2:$K$1001),"")</f>
        <v/>
      </c>
    </row>
    <row r="627" customFormat="false" ht="15" hidden="false" customHeight="false" outlineLevel="0" collapsed="false">
      <c r="J627" s="10" t="n">
        <f aca="false">IF($D627="",0,IF(AND(OR(Test!$B$4="Hepsi",$B627=Test!$B$4),OR(Test!$B$5="Hepsi",$C627=Test!$B$5)),1,0))</f>
        <v>0</v>
      </c>
      <c r="K627" s="10" t="n">
        <f aca="true">IF($J627=1,RAND(),-1)</f>
        <v>-1</v>
      </c>
      <c r="L627" s="10" t="str">
        <f aca="false">IF($J627=1,RANK($K627,$K$2:$K$1001),"")</f>
        <v/>
      </c>
    </row>
    <row r="628" customFormat="false" ht="15" hidden="false" customHeight="false" outlineLevel="0" collapsed="false">
      <c r="J628" s="10" t="n">
        <f aca="false">IF($D628="",0,IF(AND(OR(Test!$B$4="Hepsi",$B628=Test!$B$4),OR(Test!$B$5="Hepsi",$C628=Test!$B$5)),1,0))</f>
        <v>0</v>
      </c>
      <c r="K628" s="10" t="n">
        <f aca="true">IF($J628=1,RAND(),-1)</f>
        <v>-1</v>
      </c>
      <c r="L628" s="10" t="str">
        <f aca="false">IF($J628=1,RANK($K628,$K$2:$K$1001),"")</f>
        <v/>
      </c>
    </row>
    <row r="629" customFormat="false" ht="15" hidden="false" customHeight="false" outlineLevel="0" collapsed="false">
      <c r="J629" s="10" t="n">
        <f aca="false">IF($D629="",0,IF(AND(OR(Test!$B$4="Hepsi",$B629=Test!$B$4),OR(Test!$B$5="Hepsi",$C629=Test!$B$5)),1,0))</f>
        <v>0</v>
      </c>
      <c r="K629" s="10" t="n">
        <f aca="true">IF($J629=1,RAND(),-1)</f>
        <v>-1</v>
      </c>
      <c r="L629" s="10" t="str">
        <f aca="false">IF($J629=1,RANK($K629,$K$2:$K$1001),"")</f>
        <v/>
      </c>
    </row>
    <row r="630" customFormat="false" ht="15" hidden="false" customHeight="false" outlineLevel="0" collapsed="false">
      <c r="J630" s="10" t="n">
        <f aca="false">IF($D630="",0,IF(AND(OR(Test!$B$4="Hepsi",$B630=Test!$B$4),OR(Test!$B$5="Hepsi",$C630=Test!$B$5)),1,0))</f>
        <v>0</v>
      </c>
      <c r="K630" s="10" t="n">
        <f aca="true">IF($J630=1,RAND(),-1)</f>
        <v>-1</v>
      </c>
      <c r="L630" s="10" t="str">
        <f aca="false">IF($J630=1,RANK($K630,$K$2:$K$1001),"")</f>
        <v/>
      </c>
    </row>
    <row r="631" customFormat="false" ht="15" hidden="false" customHeight="false" outlineLevel="0" collapsed="false">
      <c r="J631" s="10" t="n">
        <f aca="false">IF($D631="",0,IF(AND(OR(Test!$B$4="Hepsi",$B631=Test!$B$4),OR(Test!$B$5="Hepsi",$C631=Test!$B$5)),1,0))</f>
        <v>0</v>
      </c>
      <c r="K631" s="10" t="n">
        <f aca="true">IF($J631=1,RAND(),-1)</f>
        <v>-1</v>
      </c>
      <c r="L631" s="10" t="str">
        <f aca="false">IF($J631=1,RANK($K631,$K$2:$K$1001),"")</f>
        <v/>
      </c>
    </row>
    <row r="632" customFormat="false" ht="15" hidden="false" customHeight="false" outlineLevel="0" collapsed="false">
      <c r="J632" s="10" t="n">
        <f aca="false">IF($D632="",0,IF(AND(OR(Test!$B$4="Hepsi",$B632=Test!$B$4),OR(Test!$B$5="Hepsi",$C632=Test!$B$5)),1,0))</f>
        <v>0</v>
      </c>
      <c r="K632" s="10" t="n">
        <f aca="true">IF($J632=1,RAND(),-1)</f>
        <v>-1</v>
      </c>
      <c r="L632" s="10" t="str">
        <f aca="false">IF($J632=1,RANK($K632,$K$2:$K$1001),"")</f>
        <v/>
      </c>
    </row>
    <row r="633" customFormat="false" ht="15" hidden="false" customHeight="false" outlineLevel="0" collapsed="false">
      <c r="J633" s="10" t="n">
        <f aca="false">IF($D633="",0,IF(AND(OR(Test!$B$4="Hepsi",$B633=Test!$B$4),OR(Test!$B$5="Hepsi",$C633=Test!$B$5)),1,0))</f>
        <v>0</v>
      </c>
      <c r="K633" s="10" t="n">
        <f aca="true">IF($J633=1,RAND(),-1)</f>
        <v>-1</v>
      </c>
      <c r="L633" s="10" t="str">
        <f aca="false">IF($J633=1,RANK($K633,$K$2:$K$1001),"")</f>
        <v/>
      </c>
    </row>
    <row r="634" customFormat="false" ht="15" hidden="false" customHeight="false" outlineLevel="0" collapsed="false">
      <c r="J634" s="10" t="n">
        <f aca="false">IF($D634="",0,IF(AND(OR(Test!$B$4="Hepsi",$B634=Test!$B$4),OR(Test!$B$5="Hepsi",$C634=Test!$B$5)),1,0))</f>
        <v>0</v>
      </c>
      <c r="K634" s="10" t="n">
        <f aca="true">IF($J634=1,RAND(),-1)</f>
        <v>-1</v>
      </c>
      <c r="L634" s="10" t="str">
        <f aca="false">IF($J634=1,RANK($K634,$K$2:$K$1001),"")</f>
        <v/>
      </c>
    </row>
    <row r="635" customFormat="false" ht="15" hidden="false" customHeight="false" outlineLevel="0" collapsed="false">
      <c r="J635" s="10" t="n">
        <f aca="false">IF($D635="",0,IF(AND(OR(Test!$B$4="Hepsi",$B635=Test!$B$4),OR(Test!$B$5="Hepsi",$C635=Test!$B$5)),1,0))</f>
        <v>0</v>
      </c>
      <c r="K635" s="10" t="n">
        <f aca="true">IF($J635=1,RAND(),-1)</f>
        <v>-1</v>
      </c>
      <c r="L635" s="10" t="str">
        <f aca="false">IF($J635=1,RANK($K635,$K$2:$K$1001),"")</f>
        <v/>
      </c>
    </row>
    <row r="636" customFormat="false" ht="15" hidden="false" customHeight="false" outlineLevel="0" collapsed="false">
      <c r="J636" s="10" t="n">
        <f aca="false">IF($D636="",0,IF(AND(OR(Test!$B$4="Hepsi",$B636=Test!$B$4),OR(Test!$B$5="Hepsi",$C636=Test!$B$5)),1,0))</f>
        <v>0</v>
      </c>
      <c r="K636" s="10" t="n">
        <f aca="true">IF($J636=1,RAND(),-1)</f>
        <v>-1</v>
      </c>
      <c r="L636" s="10" t="str">
        <f aca="false">IF($J636=1,RANK($K636,$K$2:$K$1001),"")</f>
        <v/>
      </c>
    </row>
    <row r="637" customFormat="false" ht="15" hidden="false" customHeight="false" outlineLevel="0" collapsed="false">
      <c r="J637" s="10" t="n">
        <f aca="false">IF($D637="",0,IF(AND(OR(Test!$B$4="Hepsi",$B637=Test!$B$4),OR(Test!$B$5="Hepsi",$C637=Test!$B$5)),1,0))</f>
        <v>0</v>
      </c>
      <c r="K637" s="10" t="n">
        <f aca="true">IF($J637=1,RAND(),-1)</f>
        <v>-1</v>
      </c>
      <c r="L637" s="10" t="str">
        <f aca="false">IF($J637=1,RANK($K637,$K$2:$K$1001),"")</f>
        <v/>
      </c>
    </row>
    <row r="638" customFormat="false" ht="15" hidden="false" customHeight="false" outlineLevel="0" collapsed="false">
      <c r="J638" s="10" t="n">
        <f aca="false">IF($D638="",0,IF(AND(OR(Test!$B$4="Hepsi",$B638=Test!$B$4),OR(Test!$B$5="Hepsi",$C638=Test!$B$5)),1,0))</f>
        <v>0</v>
      </c>
      <c r="K638" s="10" t="n">
        <f aca="true">IF($J638=1,RAND(),-1)</f>
        <v>-1</v>
      </c>
      <c r="L638" s="10" t="str">
        <f aca="false">IF($J638=1,RANK($K638,$K$2:$K$1001),"")</f>
        <v/>
      </c>
    </row>
    <row r="639" customFormat="false" ht="15" hidden="false" customHeight="false" outlineLevel="0" collapsed="false">
      <c r="J639" s="10" t="n">
        <f aca="false">IF($D639="",0,IF(AND(OR(Test!$B$4="Hepsi",$B639=Test!$B$4),OR(Test!$B$5="Hepsi",$C639=Test!$B$5)),1,0))</f>
        <v>0</v>
      </c>
      <c r="K639" s="10" t="n">
        <f aca="true">IF($J639=1,RAND(),-1)</f>
        <v>-1</v>
      </c>
      <c r="L639" s="10" t="str">
        <f aca="false">IF($J639=1,RANK($K639,$K$2:$K$1001),"")</f>
        <v/>
      </c>
    </row>
    <row r="640" customFormat="false" ht="15" hidden="false" customHeight="false" outlineLevel="0" collapsed="false">
      <c r="J640" s="10" t="n">
        <f aca="false">IF($D640="",0,IF(AND(OR(Test!$B$4="Hepsi",$B640=Test!$B$4),OR(Test!$B$5="Hepsi",$C640=Test!$B$5)),1,0))</f>
        <v>0</v>
      </c>
      <c r="K640" s="10" t="n">
        <f aca="true">IF($J640=1,RAND(),-1)</f>
        <v>-1</v>
      </c>
      <c r="L640" s="10" t="str">
        <f aca="false">IF($J640=1,RANK($K640,$K$2:$K$1001),"")</f>
        <v/>
      </c>
    </row>
    <row r="641" customFormat="false" ht="15" hidden="false" customHeight="false" outlineLevel="0" collapsed="false">
      <c r="J641" s="10" t="n">
        <f aca="false">IF($D641="",0,IF(AND(OR(Test!$B$4="Hepsi",$B641=Test!$B$4),OR(Test!$B$5="Hepsi",$C641=Test!$B$5)),1,0))</f>
        <v>0</v>
      </c>
      <c r="K641" s="10" t="n">
        <f aca="true">IF($J641=1,RAND(),-1)</f>
        <v>-1</v>
      </c>
      <c r="L641" s="10" t="str">
        <f aca="false">IF($J641=1,RANK($K641,$K$2:$K$1001),"")</f>
        <v/>
      </c>
    </row>
    <row r="642" customFormat="false" ht="15" hidden="false" customHeight="false" outlineLevel="0" collapsed="false">
      <c r="J642" s="10" t="n">
        <f aca="false">IF($D642="",0,IF(AND(OR(Test!$B$4="Hepsi",$B642=Test!$B$4),OR(Test!$B$5="Hepsi",$C642=Test!$B$5)),1,0))</f>
        <v>0</v>
      </c>
      <c r="K642" s="10" t="n">
        <f aca="true">IF($J642=1,RAND(),-1)</f>
        <v>-1</v>
      </c>
      <c r="L642" s="10" t="str">
        <f aca="false">IF($J642=1,RANK($K642,$K$2:$K$1001),"")</f>
        <v/>
      </c>
    </row>
    <row r="643" customFormat="false" ht="15" hidden="false" customHeight="false" outlineLevel="0" collapsed="false">
      <c r="J643" s="10" t="n">
        <f aca="false">IF($D643="",0,IF(AND(OR(Test!$B$4="Hepsi",$B643=Test!$B$4),OR(Test!$B$5="Hepsi",$C643=Test!$B$5)),1,0))</f>
        <v>0</v>
      </c>
      <c r="K643" s="10" t="n">
        <f aca="true">IF($J643=1,RAND(),-1)</f>
        <v>-1</v>
      </c>
      <c r="L643" s="10" t="str">
        <f aca="false">IF($J643=1,RANK($K643,$K$2:$K$1001),"")</f>
        <v/>
      </c>
    </row>
    <row r="644" customFormat="false" ht="15" hidden="false" customHeight="false" outlineLevel="0" collapsed="false">
      <c r="J644" s="10" t="n">
        <f aca="false">IF($D644="",0,IF(AND(OR(Test!$B$4="Hepsi",$B644=Test!$B$4),OR(Test!$B$5="Hepsi",$C644=Test!$B$5)),1,0))</f>
        <v>0</v>
      </c>
      <c r="K644" s="10" t="n">
        <f aca="true">IF($J644=1,RAND(),-1)</f>
        <v>-1</v>
      </c>
      <c r="L644" s="10" t="str">
        <f aca="false">IF($J644=1,RANK($K644,$K$2:$K$1001),"")</f>
        <v/>
      </c>
    </row>
    <row r="645" customFormat="false" ht="15" hidden="false" customHeight="false" outlineLevel="0" collapsed="false">
      <c r="J645" s="10" t="n">
        <f aca="false">IF($D645="",0,IF(AND(OR(Test!$B$4="Hepsi",$B645=Test!$B$4),OR(Test!$B$5="Hepsi",$C645=Test!$B$5)),1,0))</f>
        <v>0</v>
      </c>
      <c r="K645" s="10" t="n">
        <f aca="true">IF($J645=1,RAND(),-1)</f>
        <v>-1</v>
      </c>
      <c r="L645" s="10" t="str">
        <f aca="false">IF($J645=1,RANK($K645,$K$2:$K$1001),"")</f>
        <v/>
      </c>
    </row>
    <row r="646" customFormat="false" ht="15" hidden="false" customHeight="false" outlineLevel="0" collapsed="false">
      <c r="J646" s="10" t="n">
        <f aca="false">IF($D646="",0,IF(AND(OR(Test!$B$4="Hepsi",$B646=Test!$B$4),OR(Test!$B$5="Hepsi",$C646=Test!$B$5)),1,0))</f>
        <v>0</v>
      </c>
      <c r="K646" s="10" t="n">
        <f aca="true">IF($J646=1,RAND(),-1)</f>
        <v>-1</v>
      </c>
      <c r="L646" s="10" t="str">
        <f aca="false">IF($J646=1,RANK($K646,$K$2:$K$1001),"")</f>
        <v/>
      </c>
    </row>
    <row r="647" customFormat="false" ht="15" hidden="false" customHeight="false" outlineLevel="0" collapsed="false">
      <c r="J647" s="10" t="n">
        <f aca="false">IF($D647="",0,IF(AND(OR(Test!$B$4="Hepsi",$B647=Test!$B$4),OR(Test!$B$5="Hepsi",$C647=Test!$B$5)),1,0))</f>
        <v>0</v>
      </c>
      <c r="K647" s="10" t="n">
        <f aca="true">IF($J647=1,RAND(),-1)</f>
        <v>-1</v>
      </c>
      <c r="L647" s="10" t="str">
        <f aca="false">IF($J647=1,RANK($K647,$K$2:$K$1001),"")</f>
        <v/>
      </c>
    </row>
    <row r="648" customFormat="false" ht="15" hidden="false" customHeight="false" outlineLevel="0" collapsed="false">
      <c r="J648" s="10" t="n">
        <f aca="false">IF($D648="",0,IF(AND(OR(Test!$B$4="Hepsi",$B648=Test!$B$4),OR(Test!$B$5="Hepsi",$C648=Test!$B$5)),1,0))</f>
        <v>0</v>
      </c>
      <c r="K648" s="10" t="n">
        <f aca="true">IF($J648=1,RAND(),-1)</f>
        <v>-1</v>
      </c>
      <c r="L648" s="10" t="str">
        <f aca="false">IF($J648=1,RANK($K648,$K$2:$K$1001),"")</f>
        <v/>
      </c>
    </row>
    <row r="649" customFormat="false" ht="15" hidden="false" customHeight="false" outlineLevel="0" collapsed="false">
      <c r="J649" s="10" t="n">
        <f aca="false">IF($D649="",0,IF(AND(OR(Test!$B$4="Hepsi",$B649=Test!$B$4),OR(Test!$B$5="Hepsi",$C649=Test!$B$5)),1,0))</f>
        <v>0</v>
      </c>
      <c r="K649" s="10" t="n">
        <f aca="true">IF($J649=1,RAND(),-1)</f>
        <v>-1</v>
      </c>
      <c r="L649" s="10" t="str">
        <f aca="false">IF($J649=1,RANK($K649,$K$2:$K$1001),"")</f>
        <v/>
      </c>
    </row>
    <row r="650" customFormat="false" ht="15" hidden="false" customHeight="false" outlineLevel="0" collapsed="false">
      <c r="J650" s="10" t="n">
        <f aca="false">IF($D650="",0,IF(AND(OR(Test!$B$4="Hepsi",$B650=Test!$B$4),OR(Test!$B$5="Hepsi",$C650=Test!$B$5)),1,0))</f>
        <v>0</v>
      </c>
      <c r="K650" s="10" t="n">
        <f aca="true">IF($J650=1,RAND(),-1)</f>
        <v>-1</v>
      </c>
      <c r="L650" s="10" t="str">
        <f aca="false">IF($J650=1,RANK($K650,$K$2:$K$1001),"")</f>
        <v/>
      </c>
    </row>
    <row r="651" customFormat="false" ht="15" hidden="false" customHeight="false" outlineLevel="0" collapsed="false">
      <c r="J651" s="10" t="n">
        <f aca="false">IF($D651="",0,IF(AND(OR(Test!$B$4="Hepsi",$B651=Test!$B$4),OR(Test!$B$5="Hepsi",$C651=Test!$B$5)),1,0))</f>
        <v>0</v>
      </c>
      <c r="K651" s="10" t="n">
        <f aca="true">IF($J651=1,RAND(),-1)</f>
        <v>-1</v>
      </c>
      <c r="L651" s="10" t="str">
        <f aca="false">IF($J651=1,RANK($K651,$K$2:$K$1001),"")</f>
        <v/>
      </c>
    </row>
    <row r="652" customFormat="false" ht="15" hidden="false" customHeight="false" outlineLevel="0" collapsed="false">
      <c r="J652" s="10" t="n">
        <f aca="false">IF($D652="",0,IF(AND(OR(Test!$B$4="Hepsi",$B652=Test!$B$4),OR(Test!$B$5="Hepsi",$C652=Test!$B$5)),1,0))</f>
        <v>0</v>
      </c>
      <c r="K652" s="10" t="n">
        <f aca="true">IF($J652=1,RAND(),-1)</f>
        <v>-1</v>
      </c>
      <c r="L652" s="10" t="str">
        <f aca="false">IF($J652=1,RANK($K652,$K$2:$K$1001),"")</f>
        <v/>
      </c>
    </row>
    <row r="653" customFormat="false" ht="15" hidden="false" customHeight="false" outlineLevel="0" collapsed="false">
      <c r="J653" s="10" t="n">
        <f aca="false">IF($D653="",0,IF(AND(OR(Test!$B$4="Hepsi",$B653=Test!$B$4),OR(Test!$B$5="Hepsi",$C653=Test!$B$5)),1,0))</f>
        <v>0</v>
      </c>
      <c r="K653" s="10" t="n">
        <f aca="true">IF($J653=1,RAND(),-1)</f>
        <v>-1</v>
      </c>
      <c r="L653" s="10" t="str">
        <f aca="false">IF($J653=1,RANK($K653,$K$2:$K$1001),"")</f>
        <v/>
      </c>
    </row>
    <row r="654" customFormat="false" ht="15" hidden="false" customHeight="false" outlineLevel="0" collapsed="false">
      <c r="J654" s="10" t="n">
        <f aca="false">IF($D654="",0,IF(AND(OR(Test!$B$4="Hepsi",$B654=Test!$B$4),OR(Test!$B$5="Hepsi",$C654=Test!$B$5)),1,0))</f>
        <v>0</v>
      </c>
      <c r="K654" s="10" t="n">
        <f aca="true">IF($J654=1,RAND(),-1)</f>
        <v>-1</v>
      </c>
      <c r="L654" s="10" t="str">
        <f aca="false">IF($J654=1,RANK($K654,$K$2:$K$1001),"")</f>
        <v/>
      </c>
    </row>
    <row r="655" customFormat="false" ht="15" hidden="false" customHeight="false" outlineLevel="0" collapsed="false">
      <c r="J655" s="10" t="n">
        <f aca="false">IF($D655="",0,IF(AND(OR(Test!$B$4="Hepsi",$B655=Test!$B$4),OR(Test!$B$5="Hepsi",$C655=Test!$B$5)),1,0))</f>
        <v>0</v>
      </c>
      <c r="K655" s="10" t="n">
        <f aca="true">IF($J655=1,RAND(),-1)</f>
        <v>-1</v>
      </c>
      <c r="L655" s="10" t="str">
        <f aca="false">IF($J655=1,RANK($K655,$K$2:$K$1001),"")</f>
        <v/>
      </c>
    </row>
    <row r="656" customFormat="false" ht="15" hidden="false" customHeight="false" outlineLevel="0" collapsed="false">
      <c r="J656" s="10" t="n">
        <f aca="false">IF($D656="",0,IF(AND(OR(Test!$B$4="Hepsi",$B656=Test!$B$4),OR(Test!$B$5="Hepsi",$C656=Test!$B$5)),1,0))</f>
        <v>0</v>
      </c>
      <c r="K656" s="10" t="n">
        <f aca="true">IF($J656=1,RAND(),-1)</f>
        <v>-1</v>
      </c>
      <c r="L656" s="10" t="str">
        <f aca="false">IF($J656=1,RANK($K656,$K$2:$K$1001),"")</f>
        <v/>
      </c>
    </row>
    <row r="657" customFormat="false" ht="15" hidden="false" customHeight="false" outlineLevel="0" collapsed="false">
      <c r="J657" s="10" t="n">
        <f aca="false">IF($D657="",0,IF(AND(OR(Test!$B$4="Hepsi",$B657=Test!$B$4),OR(Test!$B$5="Hepsi",$C657=Test!$B$5)),1,0))</f>
        <v>0</v>
      </c>
      <c r="K657" s="10" t="n">
        <f aca="true">IF($J657=1,RAND(),-1)</f>
        <v>-1</v>
      </c>
      <c r="L657" s="10" t="str">
        <f aca="false">IF($J657=1,RANK($K657,$K$2:$K$1001),"")</f>
        <v/>
      </c>
    </row>
    <row r="658" customFormat="false" ht="15" hidden="false" customHeight="false" outlineLevel="0" collapsed="false">
      <c r="J658" s="10" t="n">
        <f aca="false">IF($D658="",0,IF(AND(OR(Test!$B$4="Hepsi",$B658=Test!$B$4),OR(Test!$B$5="Hepsi",$C658=Test!$B$5)),1,0))</f>
        <v>0</v>
      </c>
      <c r="K658" s="10" t="n">
        <f aca="true">IF($J658=1,RAND(),-1)</f>
        <v>-1</v>
      </c>
      <c r="L658" s="10" t="str">
        <f aca="false">IF($J658=1,RANK($K658,$K$2:$K$1001),"")</f>
        <v/>
      </c>
    </row>
    <row r="659" customFormat="false" ht="15" hidden="false" customHeight="false" outlineLevel="0" collapsed="false">
      <c r="J659" s="10" t="n">
        <f aca="false">IF($D659="",0,IF(AND(OR(Test!$B$4="Hepsi",$B659=Test!$B$4),OR(Test!$B$5="Hepsi",$C659=Test!$B$5)),1,0))</f>
        <v>0</v>
      </c>
      <c r="K659" s="10" t="n">
        <f aca="true">IF($J659=1,RAND(),-1)</f>
        <v>-1</v>
      </c>
      <c r="L659" s="10" t="str">
        <f aca="false">IF($J659=1,RANK($K659,$K$2:$K$1001),"")</f>
        <v/>
      </c>
    </row>
    <row r="660" customFormat="false" ht="15" hidden="false" customHeight="false" outlineLevel="0" collapsed="false">
      <c r="J660" s="10" t="n">
        <f aca="false">IF($D660="",0,IF(AND(OR(Test!$B$4="Hepsi",$B660=Test!$B$4),OR(Test!$B$5="Hepsi",$C660=Test!$B$5)),1,0))</f>
        <v>0</v>
      </c>
      <c r="K660" s="10" t="n">
        <f aca="true">IF($J660=1,RAND(),-1)</f>
        <v>-1</v>
      </c>
      <c r="L660" s="10" t="str">
        <f aca="false">IF($J660=1,RANK($K660,$K$2:$K$1001),"")</f>
        <v/>
      </c>
    </row>
    <row r="661" customFormat="false" ht="15" hidden="false" customHeight="false" outlineLevel="0" collapsed="false">
      <c r="J661" s="10" t="n">
        <f aca="false">IF($D661="",0,IF(AND(OR(Test!$B$4="Hepsi",$B661=Test!$B$4),OR(Test!$B$5="Hepsi",$C661=Test!$B$5)),1,0))</f>
        <v>0</v>
      </c>
      <c r="K661" s="10" t="n">
        <f aca="true">IF($J661=1,RAND(),-1)</f>
        <v>-1</v>
      </c>
      <c r="L661" s="10" t="str">
        <f aca="false">IF($J661=1,RANK($K661,$K$2:$K$1001),"")</f>
        <v/>
      </c>
    </row>
    <row r="662" customFormat="false" ht="15" hidden="false" customHeight="false" outlineLevel="0" collapsed="false">
      <c r="J662" s="10" t="n">
        <f aca="false">IF($D662="",0,IF(AND(OR(Test!$B$4="Hepsi",$B662=Test!$B$4),OR(Test!$B$5="Hepsi",$C662=Test!$B$5)),1,0))</f>
        <v>0</v>
      </c>
      <c r="K662" s="10" t="n">
        <f aca="true">IF($J662=1,RAND(),-1)</f>
        <v>-1</v>
      </c>
      <c r="L662" s="10" t="str">
        <f aca="false">IF($J662=1,RANK($K662,$K$2:$K$1001),"")</f>
        <v/>
      </c>
    </row>
    <row r="663" customFormat="false" ht="15" hidden="false" customHeight="false" outlineLevel="0" collapsed="false">
      <c r="J663" s="10" t="n">
        <f aca="false">IF($D663="",0,IF(AND(OR(Test!$B$4="Hepsi",$B663=Test!$B$4),OR(Test!$B$5="Hepsi",$C663=Test!$B$5)),1,0))</f>
        <v>0</v>
      </c>
      <c r="K663" s="10" t="n">
        <f aca="true">IF($J663=1,RAND(),-1)</f>
        <v>-1</v>
      </c>
      <c r="L663" s="10" t="str">
        <f aca="false">IF($J663=1,RANK($K663,$K$2:$K$1001),"")</f>
        <v/>
      </c>
    </row>
    <row r="664" customFormat="false" ht="15" hidden="false" customHeight="false" outlineLevel="0" collapsed="false">
      <c r="J664" s="10" t="n">
        <f aca="false">IF($D664="",0,IF(AND(OR(Test!$B$4="Hepsi",$B664=Test!$B$4),OR(Test!$B$5="Hepsi",$C664=Test!$B$5)),1,0))</f>
        <v>0</v>
      </c>
      <c r="K664" s="10" t="n">
        <f aca="true">IF($J664=1,RAND(),-1)</f>
        <v>-1</v>
      </c>
      <c r="L664" s="10" t="str">
        <f aca="false">IF($J664=1,RANK($K664,$K$2:$K$1001),"")</f>
        <v/>
      </c>
    </row>
    <row r="665" customFormat="false" ht="15" hidden="false" customHeight="false" outlineLevel="0" collapsed="false">
      <c r="J665" s="10" t="n">
        <f aca="false">IF($D665="",0,IF(AND(OR(Test!$B$4="Hepsi",$B665=Test!$B$4),OR(Test!$B$5="Hepsi",$C665=Test!$B$5)),1,0))</f>
        <v>0</v>
      </c>
      <c r="K665" s="10" t="n">
        <f aca="true">IF($J665=1,RAND(),-1)</f>
        <v>-1</v>
      </c>
      <c r="L665" s="10" t="str">
        <f aca="false">IF($J665=1,RANK($K665,$K$2:$K$1001),"")</f>
        <v/>
      </c>
    </row>
    <row r="666" customFormat="false" ht="15" hidden="false" customHeight="false" outlineLevel="0" collapsed="false">
      <c r="J666" s="10" t="n">
        <f aca="false">IF($D666="",0,IF(AND(OR(Test!$B$4="Hepsi",$B666=Test!$B$4),OR(Test!$B$5="Hepsi",$C666=Test!$B$5)),1,0))</f>
        <v>0</v>
      </c>
      <c r="K666" s="10" t="n">
        <f aca="true">IF($J666=1,RAND(),-1)</f>
        <v>-1</v>
      </c>
      <c r="L666" s="10" t="str">
        <f aca="false">IF($J666=1,RANK($K666,$K$2:$K$1001),"")</f>
        <v/>
      </c>
    </row>
    <row r="667" customFormat="false" ht="15" hidden="false" customHeight="false" outlineLevel="0" collapsed="false">
      <c r="J667" s="10" t="n">
        <f aca="false">IF($D667="",0,IF(AND(OR(Test!$B$4="Hepsi",$B667=Test!$B$4),OR(Test!$B$5="Hepsi",$C667=Test!$B$5)),1,0))</f>
        <v>0</v>
      </c>
      <c r="K667" s="10" t="n">
        <f aca="true">IF($J667=1,RAND(),-1)</f>
        <v>-1</v>
      </c>
      <c r="L667" s="10" t="str">
        <f aca="false">IF($J667=1,RANK($K667,$K$2:$K$1001),"")</f>
        <v/>
      </c>
    </row>
    <row r="668" customFormat="false" ht="15" hidden="false" customHeight="false" outlineLevel="0" collapsed="false">
      <c r="J668" s="10" t="n">
        <f aca="false">IF($D668="",0,IF(AND(OR(Test!$B$4="Hepsi",$B668=Test!$B$4),OR(Test!$B$5="Hepsi",$C668=Test!$B$5)),1,0))</f>
        <v>0</v>
      </c>
      <c r="K668" s="10" t="n">
        <f aca="true">IF($J668=1,RAND(),-1)</f>
        <v>-1</v>
      </c>
      <c r="L668" s="10" t="str">
        <f aca="false">IF($J668=1,RANK($K668,$K$2:$K$1001),"")</f>
        <v/>
      </c>
    </row>
    <row r="669" customFormat="false" ht="15" hidden="false" customHeight="false" outlineLevel="0" collapsed="false">
      <c r="J669" s="10" t="n">
        <f aca="false">IF($D669="",0,IF(AND(OR(Test!$B$4="Hepsi",$B669=Test!$B$4),OR(Test!$B$5="Hepsi",$C669=Test!$B$5)),1,0))</f>
        <v>0</v>
      </c>
      <c r="K669" s="10" t="n">
        <f aca="true">IF($J669=1,RAND(),-1)</f>
        <v>-1</v>
      </c>
      <c r="L669" s="10" t="str">
        <f aca="false">IF($J669=1,RANK($K669,$K$2:$K$1001),"")</f>
        <v/>
      </c>
    </row>
    <row r="670" customFormat="false" ht="15" hidden="false" customHeight="false" outlineLevel="0" collapsed="false">
      <c r="J670" s="10" t="n">
        <f aca="false">IF($D670="",0,IF(AND(OR(Test!$B$4="Hepsi",$B670=Test!$B$4),OR(Test!$B$5="Hepsi",$C670=Test!$B$5)),1,0))</f>
        <v>0</v>
      </c>
      <c r="K670" s="10" t="n">
        <f aca="true">IF($J670=1,RAND(),-1)</f>
        <v>-1</v>
      </c>
      <c r="L670" s="10" t="str">
        <f aca="false">IF($J670=1,RANK($K670,$K$2:$K$1001),"")</f>
        <v/>
      </c>
    </row>
    <row r="671" customFormat="false" ht="15" hidden="false" customHeight="false" outlineLevel="0" collapsed="false">
      <c r="J671" s="10" t="n">
        <f aca="false">IF($D671="",0,IF(AND(OR(Test!$B$4="Hepsi",$B671=Test!$B$4),OR(Test!$B$5="Hepsi",$C671=Test!$B$5)),1,0))</f>
        <v>0</v>
      </c>
      <c r="K671" s="10" t="n">
        <f aca="true">IF($J671=1,RAND(),-1)</f>
        <v>-1</v>
      </c>
      <c r="L671" s="10" t="str">
        <f aca="false">IF($J671=1,RANK($K671,$K$2:$K$1001),"")</f>
        <v/>
      </c>
    </row>
    <row r="672" customFormat="false" ht="15" hidden="false" customHeight="false" outlineLevel="0" collapsed="false">
      <c r="J672" s="10" t="n">
        <f aca="false">IF($D672="",0,IF(AND(OR(Test!$B$4="Hepsi",$B672=Test!$B$4),OR(Test!$B$5="Hepsi",$C672=Test!$B$5)),1,0))</f>
        <v>0</v>
      </c>
      <c r="K672" s="10" t="n">
        <f aca="true">IF($J672=1,RAND(),-1)</f>
        <v>-1</v>
      </c>
      <c r="L672" s="10" t="str">
        <f aca="false">IF($J672=1,RANK($K672,$K$2:$K$1001),"")</f>
        <v/>
      </c>
    </row>
    <row r="673" customFormat="false" ht="15" hidden="false" customHeight="false" outlineLevel="0" collapsed="false">
      <c r="J673" s="10" t="n">
        <f aca="false">IF($D673="",0,IF(AND(OR(Test!$B$4="Hepsi",$B673=Test!$B$4),OR(Test!$B$5="Hepsi",$C673=Test!$B$5)),1,0))</f>
        <v>0</v>
      </c>
      <c r="K673" s="10" t="n">
        <f aca="true">IF($J673=1,RAND(),-1)</f>
        <v>-1</v>
      </c>
      <c r="L673" s="10" t="str">
        <f aca="false">IF($J673=1,RANK($K673,$K$2:$K$1001),"")</f>
        <v/>
      </c>
    </row>
    <row r="674" customFormat="false" ht="15" hidden="false" customHeight="false" outlineLevel="0" collapsed="false">
      <c r="J674" s="10" t="n">
        <f aca="false">IF($D674="",0,IF(AND(OR(Test!$B$4="Hepsi",$B674=Test!$B$4),OR(Test!$B$5="Hepsi",$C674=Test!$B$5)),1,0))</f>
        <v>0</v>
      </c>
      <c r="K674" s="10" t="n">
        <f aca="true">IF($J674=1,RAND(),-1)</f>
        <v>-1</v>
      </c>
      <c r="L674" s="10" t="str">
        <f aca="false">IF($J674=1,RANK($K674,$K$2:$K$1001),"")</f>
        <v/>
      </c>
    </row>
    <row r="675" customFormat="false" ht="15" hidden="false" customHeight="false" outlineLevel="0" collapsed="false">
      <c r="J675" s="10" t="n">
        <f aca="false">IF($D675="",0,IF(AND(OR(Test!$B$4="Hepsi",$B675=Test!$B$4),OR(Test!$B$5="Hepsi",$C675=Test!$B$5)),1,0))</f>
        <v>0</v>
      </c>
      <c r="K675" s="10" t="n">
        <f aca="true">IF($J675=1,RAND(),-1)</f>
        <v>-1</v>
      </c>
      <c r="L675" s="10" t="str">
        <f aca="false">IF($J675=1,RANK($K675,$K$2:$K$1001),"")</f>
        <v/>
      </c>
    </row>
    <row r="676" customFormat="false" ht="15" hidden="false" customHeight="false" outlineLevel="0" collapsed="false">
      <c r="J676" s="10" t="n">
        <f aca="false">IF($D676="",0,IF(AND(OR(Test!$B$4="Hepsi",$B676=Test!$B$4),OR(Test!$B$5="Hepsi",$C676=Test!$B$5)),1,0))</f>
        <v>0</v>
      </c>
      <c r="K676" s="10" t="n">
        <f aca="true">IF($J676=1,RAND(),-1)</f>
        <v>-1</v>
      </c>
      <c r="L676" s="10" t="str">
        <f aca="false">IF($J676=1,RANK($K676,$K$2:$K$1001),"")</f>
        <v/>
      </c>
    </row>
    <row r="677" customFormat="false" ht="15" hidden="false" customHeight="false" outlineLevel="0" collapsed="false">
      <c r="J677" s="10" t="n">
        <f aca="false">IF($D677="",0,IF(AND(OR(Test!$B$4="Hepsi",$B677=Test!$B$4),OR(Test!$B$5="Hepsi",$C677=Test!$B$5)),1,0))</f>
        <v>0</v>
      </c>
      <c r="K677" s="10" t="n">
        <f aca="true">IF($J677=1,RAND(),-1)</f>
        <v>-1</v>
      </c>
      <c r="L677" s="10" t="str">
        <f aca="false">IF($J677=1,RANK($K677,$K$2:$K$1001),"")</f>
        <v/>
      </c>
    </row>
    <row r="678" customFormat="false" ht="15" hidden="false" customHeight="false" outlineLevel="0" collapsed="false">
      <c r="J678" s="10" t="n">
        <f aca="false">IF($D678="",0,IF(AND(OR(Test!$B$4="Hepsi",$B678=Test!$B$4),OR(Test!$B$5="Hepsi",$C678=Test!$B$5)),1,0))</f>
        <v>0</v>
      </c>
      <c r="K678" s="10" t="n">
        <f aca="true">IF($J678=1,RAND(),-1)</f>
        <v>-1</v>
      </c>
      <c r="L678" s="10" t="str">
        <f aca="false">IF($J678=1,RANK($K678,$K$2:$K$1001),"")</f>
        <v/>
      </c>
    </row>
    <row r="679" customFormat="false" ht="15" hidden="false" customHeight="false" outlineLevel="0" collapsed="false">
      <c r="J679" s="10" t="n">
        <f aca="false">IF($D679="",0,IF(AND(OR(Test!$B$4="Hepsi",$B679=Test!$B$4),OR(Test!$B$5="Hepsi",$C679=Test!$B$5)),1,0))</f>
        <v>0</v>
      </c>
      <c r="K679" s="10" t="n">
        <f aca="true">IF($J679=1,RAND(),-1)</f>
        <v>-1</v>
      </c>
      <c r="L679" s="10" t="str">
        <f aca="false">IF($J679=1,RANK($K679,$K$2:$K$1001),"")</f>
        <v/>
      </c>
    </row>
    <row r="680" customFormat="false" ht="15" hidden="false" customHeight="false" outlineLevel="0" collapsed="false">
      <c r="J680" s="10" t="n">
        <f aca="false">IF($D680="",0,IF(AND(OR(Test!$B$4="Hepsi",$B680=Test!$B$4),OR(Test!$B$5="Hepsi",$C680=Test!$B$5)),1,0))</f>
        <v>0</v>
      </c>
      <c r="K680" s="10" t="n">
        <f aca="true">IF($J680=1,RAND(),-1)</f>
        <v>-1</v>
      </c>
      <c r="L680" s="10" t="str">
        <f aca="false">IF($J680=1,RANK($K680,$K$2:$K$1001),"")</f>
        <v/>
      </c>
    </row>
    <row r="681" customFormat="false" ht="15" hidden="false" customHeight="false" outlineLevel="0" collapsed="false">
      <c r="J681" s="10" t="n">
        <f aca="false">IF($D681="",0,IF(AND(OR(Test!$B$4="Hepsi",$B681=Test!$B$4),OR(Test!$B$5="Hepsi",$C681=Test!$B$5)),1,0))</f>
        <v>0</v>
      </c>
      <c r="K681" s="10" t="n">
        <f aca="true">IF($J681=1,RAND(),-1)</f>
        <v>-1</v>
      </c>
      <c r="L681" s="10" t="str">
        <f aca="false">IF($J681=1,RANK($K681,$K$2:$K$1001),"")</f>
        <v/>
      </c>
    </row>
    <row r="682" customFormat="false" ht="15" hidden="false" customHeight="false" outlineLevel="0" collapsed="false">
      <c r="J682" s="10" t="n">
        <f aca="false">IF($D682="",0,IF(AND(OR(Test!$B$4="Hepsi",$B682=Test!$B$4),OR(Test!$B$5="Hepsi",$C682=Test!$B$5)),1,0))</f>
        <v>0</v>
      </c>
      <c r="K682" s="10" t="n">
        <f aca="true">IF($J682=1,RAND(),-1)</f>
        <v>-1</v>
      </c>
      <c r="L682" s="10" t="str">
        <f aca="false">IF($J682=1,RANK($K682,$K$2:$K$1001),"")</f>
        <v/>
      </c>
    </row>
    <row r="683" customFormat="false" ht="15" hidden="false" customHeight="false" outlineLevel="0" collapsed="false">
      <c r="J683" s="10" t="n">
        <f aca="false">IF($D683="",0,IF(AND(OR(Test!$B$4="Hepsi",$B683=Test!$B$4),OR(Test!$B$5="Hepsi",$C683=Test!$B$5)),1,0))</f>
        <v>0</v>
      </c>
      <c r="K683" s="10" t="n">
        <f aca="true">IF($J683=1,RAND(),-1)</f>
        <v>-1</v>
      </c>
      <c r="L683" s="10" t="str">
        <f aca="false">IF($J683=1,RANK($K683,$K$2:$K$1001),"")</f>
        <v/>
      </c>
    </row>
    <row r="684" customFormat="false" ht="15" hidden="false" customHeight="false" outlineLevel="0" collapsed="false">
      <c r="J684" s="10" t="n">
        <f aca="false">IF($D684="",0,IF(AND(OR(Test!$B$4="Hepsi",$B684=Test!$B$4),OR(Test!$B$5="Hepsi",$C684=Test!$B$5)),1,0))</f>
        <v>0</v>
      </c>
      <c r="K684" s="10" t="n">
        <f aca="true">IF($J684=1,RAND(),-1)</f>
        <v>-1</v>
      </c>
      <c r="L684" s="10" t="str">
        <f aca="false">IF($J684=1,RANK($K684,$K$2:$K$1001),"")</f>
        <v/>
      </c>
    </row>
    <row r="685" customFormat="false" ht="15" hidden="false" customHeight="false" outlineLevel="0" collapsed="false">
      <c r="J685" s="10" t="n">
        <f aca="false">IF($D685="",0,IF(AND(OR(Test!$B$4="Hepsi",$B685=Test!$B$4),OR(Test!$B$5="Hepsi",$C685=Test!$B$5)),1,0))</f>
        <v>0</v>
      </c>
      <c r="K685" s="10" t="n">
        <f aca="true">IF($J685=1,RAND(),-1)</f>
        <v>-1</v>
      </c>
      <c r="L685" s="10" t="str">
        <f aca="false">IF($J685=1,RANK($K685,$K$2:$K$1001),"")</f>
        <v/>
      </c>
    </row>
    <row r="686" customFormat="false" ht="15" hidden="false" customHeight="false" outlineLevel="0" collapsed="false">
      <c r="J686" s="10" t="n">
        <f aca="false">IF($D686="",0,IF(AND(OR(Test!$B$4="Hepsi",$B686=Test!$B$4),OR(Test!$B$5="Hepsi",$C686=Test!$B$5)),1,0))</f>
        <v>0</v>
      </c>
      <c r="K686" s="10" t="n">
        <f aca="true">IF($J686=1,RAND(),-1)</f>
        <v>-1</v>
      </c>
      <c r="L686" s="10" t="str">
        <f aca="false">IF($J686=1,RANK($K686,$K$2:$K$1001),"")</f>
        <v/>
      </c>
    </row>
    <row r="687" customFormat="false" ht="15" hidden="false" customHeight="false" outlineLevel="0" collapsed="false">
      <c r="J687" s="10" t="n">
        <f aca="false">IF($D687="",0,IF(AND(OR(Test!$B$4="Hepsi",$B687=Test!$B$4),OR(Test!$B$5="Hepsi",$C687=Test!$B$5)),1,0))</f>
        <v>0</v>
      </c>
      <c r="K687" s="10" t="n">
        <f aca="true">IF($J687=1,RAND(),-1)</f>
        <v>-1</v>
      </c>
      <c r="L687" s="10" t="str">
        <f aca="false">IF($J687=1,RANK($K687,$K$2:$K$1001),"")</f>
        <v/>
      </c>
    </row>
    <row r="688" customFormat="false" ht="15" hidden="false" customHeight="false" outlineLevel="0" collapsed="false">
      <c r="J688" s="10" t="n">
        <f aca="false">IF($D688="",0,IF(AND(OR(Test!$B$4="Hepsi",$B688=Test!$B$4),OR(Test!$B$5="Hepsi",$C688=Test!$B$5)),1,0))</f>
        <v>0</v>
      </c>
      <c r="K688" s="10" t="n">
        <f aca="true">IF($J688=1,RAND(),-1)</f>
        <v>-1</v>
      </c>
      <c r="L688" s="10" t="str">
        <f aca="false">IF($J688=1,RANK($K688,$K$2:$K$1001),"")</f>
        <v/>
      </c>
    </row>
    <row r="689" customFormat="false" ht="15" hidden="false" customHeight="false" outlineLevel="0" collapsed="false">
      <c r="J689" s="10" t="n">
        <f aca="false">IF($D689="",0,IF(AND(OR(Test!$B$4="Hepsi",$B689=Test!$B$4),OR(Test!$B$5="Hepsi",$C689=Test!$B$5)),1,0))</f>
        <v>0</v>
      </c>
      <c r="K689" s="10" t="n">
        <f aca="true">IF($J689=1,RAND(),-1)</f>
        <v>-1</v>
      </c>
      <c r="L689" s="10" t="str">
        <f aca="false">IF($J689=1,RANK($K689,$K$2:$K$1001),"")</f>
        <v/>
      </c>
    </row>
    <row r="690" customFormat="false" ht="15" hidden="false" customHeight="false" outlineLevel="0" collapsed="false">
      <c r="J690" s="10" t="n">
        <f aca="false">IF($D690="",0,IF(AND(OR(Test!$B$4="Hepsi",$B690=Test!$B$4),OR(Test!$B$5="Hepsi",$C690=Test!$B$5)),1,0))</f>
        <v>0</v>
      </c>
      <c r="K690" s="10" t="n">
        <f aca="true">IF($J690=1,RAND(),-1)</f>
        <v>-1</v>
      </c>
      <c r="L690" s="10" t="str">
        <f aca="false">IF($J690=1,RANK($K690,$K$2:$K$1001),"")</f>
        <v/>
      </c>
    </row>
    <row r="691" customFormat="false" ht="15" hidden="false" customHeight="false" outlineLevel="0" collapsed="false">
      <c r="J691" s="10" t="n">
        <f aca="false">IF($D691="",0,IF(AND(OR(Test!$B$4="Hepsi",$B691=Test!$B$4),OR(Test!$B$5="Hepsi",$C691=Test!$B$5)),1,0))</f>
        <v>0</v>
      </c>
      <c r="K691" s="10" t="n">
        <f aca="true">IF($J691=1,RAND(),-1)</f>
        <v>-1</v>
      </c>
      <c r="L691" s="10" t="str">
        <f aca="false">IF($J691=1,RANK($K691,$K$2:$K$1001),"")</f>
        <v/>
      </c>
    </row>
    <row r="692" customFormat="false" ht="15" hidden="false" customHeight="false" outlineLevel="0" collapsed="false">
      <c r="J692" s="10" t="n">
        <f aca="false">IF($D692="",0,IF(AND(OR(Test!$B$4="Hepsi",$B692=Test!$B$4),OR(Test!$B$5="Hepsi",$C692=Test!$B$5)),1,0))</f>
        <v>0</v>
      </c>
      <c r="K692" s="10" t="n">
        <f aca="true">IF($J692=1,RAND(),-1)</f>
        <v>-1</v>
      </c>
      <c r="L692" s="10" t="str">
        <f aca="false">IF($J692=1,RANK($K692,$K$2:$K$1001),"")</f>
        <v/>
      </c>
    </row>
    <row r="693" customFormat="false" ht="15" hidden="false" customHeight="false" outlineLevel="0" collapsed="false">
      <c r="J693" s="10" t="n">
        <f aca="false">IF($D693="",0,IF(AND(OR(Test!$B$4="Hepsi",$B693=Test!$B$4),OR(Test!$B$5="Hepsi",$C693=Test!$B$5)),1,0))</f>
        <v>0</v>
      </c>
      <c r="K693" s="10" t="n">
        <f aca="true">IF($J693=1,RAND(),-1)</f>
        <v>-1</v>
      </c>
      <c r="L693" s="10" t="str">
        <f aca="false">IF($J693=1,RANK($K693,$K$2:$K$1001),"")</f>
        <v/>
      </c>
    </row>
    <row r="694" customFormat="false" ht="15" hidden="false" customHeight="false" outlineLevel="0" collapsed="false">
      <c r="J694" s="10" t="n">
        <f aca="false">IF($D694="",0,IF(AND(OR(Test!$B$4="Hepsi",$B694=Test!$B$4),OR(Test!$B$5="Hepsi",$C694=Test!$B$5)),1,0))</f>
        <v>0</v>
      </c>
      <c r="K694" s="10" t="n">
        <f aca="true">IF($J694=1,RAND(),-1)</f>
        <v>-1</v>
      </c>
      <c r="L694" s="10" t="str">
        <f aca="false">IF($J694=1,RANK($K694,$K$2:$K$1001),"")</f>
        <v/>
      </c>
    </row>
    <row r="695" customFormat="false" ht="15" hidden="false" customHeight="false" outlineLevel="0" collapsed="false">
      <c r="J695" s="10" t="n">
        <f aca="false">IF($D695="",0,IF(AND(OR(Test!$B$4="Hepsi",$B695=Test!$B$4),OR(Test!$B$5="Hepsi",$C695=Test!$B$5)),1,0))</f>
        <v>0</v>
      </c>
      <c r="K695" s="10" t="n">
        <f aca="true">IF($J695=1,RAND(),-1)</f>
        <v>-1</v>
      </c>
      <c r="L695" s="10" t="str">
        <f aca="false">IF($J695=1,RANK($K695,$K$2:$K$1001),"")</f>
        <v/>
      </c>
    </row>
    <row r="696" customFormat="false" ht="15" hidden="false" customHeight="false" outlineLevel="0" collapsed="false">
      <c r="J696" s="10" t="n">
        <f aca="false">IF($D696="",0,IF(AND(OR(Test!$B$4="Hepsi",$B696=Test!$B$4),OR(Test!$B$5="Hepsi",$C696=Test!$B$5)),1,0))</f>
        <v>0</v>
      </c>
      <c r="K696" s="10" t="n">
        <f aca="true">IF($J696=1,RAND(),-1)</f>
        <v>-1</v>
      </c>
      <c r="L696" s="10" t="str">
        <f aca="false">IF($J696=1,RANK($K696,$K$2:$K$1001),"")</f>
        <v/>
      </c>
    </row>
    <row r="697" customFormat="false" ht="15" hidden="false" customHeight="false" outlineLevel="0" collapsed="false">
      <c r="J697" s="10" t="n">
        <f aca="false">IF($D697="",0,IF(AND(OR(Test!$B$4="Hepsi",$B697=Test!$B$4),OR(Test!$B$5="Hepsi",$C697=Test!$B$5)),1,0))</f>
        <v>0</v>
      </c>
      <c r="K697" s="10" t="n">
        <f aca="true">IF($J697=1,RAND(),-1)</f>
        <v>-1</v>
      </c>
      <c r="L697" s="10" t="str">
        <f aca="false">IF($J697=1,RANK($K697,$K$2:$K$1001),"")</f>
        <v/>
      </c>
    </row>
    <row r="698" customFormat="false" ht="15" hidden="false" customHeight="false" outlineLevel="0" collapsed="false">
      <c r="J698" s="10" t="n">
        <f aca="false">IF($D698="",0,IF(AND(OR(Test!$B$4="Hepsi",$B698=Test!$B$4),OR(Test!$B$5="Hepsi",$C698=Test!$B$5)),1,0))</f>
        <v>0</v>
      </c>
      <c r="K698" s="10" t="n">
        <f aca="true">IF($J698=1,RAND(),-1)</f>
        <v>-1</v>
      </c>
      <c r="L698" s="10" t="str">
        <f aca="false">IF($J698=1,RANK($K698,$K$2:$K$1001),"")</f>
        <v/>
      </c>
    </row>
    <row r="699" customFormat="false" ht="15" hidden="false" customHeight="false" outlineLevel="0" collapsed="false">
      <c r="J699" s="10" t="n">
        <f aca="false">IF($D699="",0,IF(AND(OR(Test!$B$4="Hepsi",$B699=Test!$B$4),OR(Test!$B$5="Hepsi",$C699=Test!$B$5)),1,0))</f>
        <v>0</v>
      </c>
      <c r="K699" s="10" t="n">
        <f aca="true">IF($J699=1,RAND(),-1)</f>
        <v>-1</v>
      </c>
      <c r="L699" s="10" t="str">
        <f aca="false">IF($J699=1,RANK($K699,$K$2:$K$1001),"")</f>
        <v/>
      </c>
    </row>
    <row r="700" customFormat="false" ht="15" hidden="false" customHeight="false" outlineLevel="0" collapsed="false">
      <c r="J700" s="10" t="n">
        <f aca="false">IF($D700="",0,IF(AND(OR(Test!$B$4="Hepsi",$B700=Test!$B$4),OR(Test!$B$5="Hepsi",$C700=Test!$B$5)),1,0))</f>
        <v>0</v>
      </c>
      <c r="K700" s="10" t="n">
        <f aca="true">IF($J700=1,RAND(),-1)</f>
        <v>-1</v>
      </c>
      <c r="L700" s="10" t="str">
        <f aca="false">IF($J700=1,RANK($K700,$K$2:$K$1001),"")</f>
        <v/>
      </c>
    </row>
    <row r="701" customFormat="false" ht="15" hidden="false" customHeight="false" outlineLevel="0" collapsed="false">
      <c r="J701" s="10" t="n">
        <f aca="false">IF($D701="",0,IF(AND(OR(Test!$B$4="Hepsi",$B701=Test!$B$4),OR(Test!$B$5="Hepsi",$C701=Test!$B$5)),1,0))</f>
        <v>0</v>
      </c>
      <c r="K701" s="10" t="n">
        <f aca="true">IF($J701=1,RAND(),-1)</f>
        <v>-1</v>
      </c>
      <c r="L701" s="10" t="str">
        <f aca="false">IF($J701=1,RANK($K701,$K$2:$K$1001),"")</f>
        <v/>
      </c>
    </row>
    <row r="702" customFormat="false" ht="15" hidden="false" customHeight="false" outlineLevel="0" collapsed="false">
      <c r="J702" s="10" t="n">
        <f aca="false">IF($D702="",0,IF(AND(OR(Test!$B$4="Hepsi",$B702=Test!$B$4),OR(Test!$B$5="Hepsi",$C702=Test!$B$5)),1,0))</f>
        <v>0</v>
      </c>
      <c r="K702" s="10" t="n">
        <f aca="true">IF($J702=1,RAND(),-1)</f>
        <v>-1</v>
      </c>
      <c r="L702" s="10" t="str">
        <f aca="false">IF($J702=1,RANK($K702,$K$2:$K$1001),"")</f>
        <v/>
      </c>
    </row>
    <row r="703" customFormat="false" ht="15" hidden="false" customHeight="false" outlineLevel="0" collapsed="false">
      <c r="J703" s="10" t="n">
        <f aca="false">IF($D703="",0,IF(AND(OR(Test!$B$4="Hepsi",$B703=Test!$B$4),OR(Test!$B$5="Hepsi",$C703=Test!$B$5)),1,0))</f>
        <v>0</v>
      </c>
      <c r="K703" s="10" t="n">
        <f aca="true">IF($J703=1,RAND(),-1)</f>
        <v>-1</v>
      </c>
      <c r="L703" s="10" t="str">
        <f aca="false">IF($J703=1,RANK($K703,$K$2:$K$1001),"")</f>
        <v/>
      </c>
    </row>
    <row r="704" customFormat="false" ht="15" hidden="false" customHeight="false" outlineLevel="0" collapsed="false">
      <c r="J704" s="10" t="n">
        <f aca="false">IF($D704="",0,IF(AND(OR(Test!$B$4="Hepsi",$B704=Test!$B$4),OR(Test!$B$5="Hepsi",$C704=Test!$B$5)),1,0))</f>
        <v>0</v>
      </c>
      <c r="K704" s="10" t="n">
        <f aca="true">IF($J704=1,RAND(),-1)</f>
        <v>-1</v>
      </c>
      <c r="L704" s="10" t="str">
        <f aca="false">IF($J704=1,RANK($K704,$K$2:$K$1001),"")</f>
        <v/>
      </c>
    </row>
    <row r="705" customFormat="false" ht="15" hidden="false" customHeight="false" outlineLevel="0" collapsed="false">
      <c r="J705" s="10" t="n">
        <f aca="false">IF($D705="",0,IF(AND(OR(Test!$B$4="Hepsi",$B705=Test!$B$4),OR(Test!$B$5="Hepsi",$C705=Test!$B$5)),1,0))</f>
        <v>0</v>
      </c>
      <c r="K705" s="10" t="n">
        <f aca="true">IF($J705=1,RAND(),-1)</f>
        <v>-1</v>
      </c>
      <c r="L705" s="10" t="str">
        <f aca="false">IF($J705=1,RANK($K705,$K$2:$K$1001),"")</f>
        <v/>
      </c>
    </row>
    <row r="706" customFormat="false" ht="15" hidden="false" customHeight="false" outlineLevel="0" collapsed="false">
      <c r="J706" s="10" t="n">
        <f aca="false">IF($D706="",0,IF(AND(OR(Test!$B$4="Hepsi",$B706=Test!$B$4),OR(Test!$B$5="Hepsi",$C706=Test!$B$5)),1,0))</f>
        <v>0</v>
      </c>
      <c r="K706" s="10" t="n">
        <f aca="true">IF($J706=1,RAND(),-1)</f>
        <v>-1</v>
      </c>
      <c r="L706" s="10" t="str">
        <f aca="false">IF($J706=1,RANK($K706,$K$2:$K$1001),"")</f>
        <v/>
      </c>
    </row>
    <row r="707" customFormat="false" ht="15" hidden="false" customHeight="false" outlineLevel="0" collapsed="false">
      <c r="J707" s="10" t="n">
        <f aca="false">IF($D707="",0,IF(AND(OR(Test!$B$4="Hepsi",$B707=Test!$B$4),OR(Test!$B$5="Hepsi",$C707=Test!$B$5)),1,0))</f>
        <v>0</v>
      </c>
      <c r="K707" s="10" t="n">
        <f aca="true">IF($J707=1,RAND(),-1)</f>
        <v>-1</v>
      </c>
      <c r="L707" s="10" t="str">
        <f aca="false">IF($J707=1,RANK($K707,$K$2:$K$1001),"")</f>
        <v/>
      </c>
    </row>
    <row r="708" customFormat="false" ht="15" hidden="false" customHeight="false" outlineLevel="0" collapsed="false">
      <c r="J708" s="10" t="n">
        <f aca="false">IF($D708="",0,IF(AND(OR(Test!$B$4="Hepsi",$B708=Test!$B$4),OR(Test!$B$5="Hepsi",$C708=Test!$B$5)),1,0))</f>
        <v>0</v>
      </c>
      <c r="K708" s="10" t="n">
        <f aca="true">IF($J708=1,RAND(),-1)</f>
        <v>-1</v>
      </c>
      <c r="L708" s="10" t="str">
        <f aca="false">IF($J708=1,RANK($K708,$K$2:$K$1001),"")</f>
        <v/>
      </c>
    </row>
    <row r="709" customFormat="false" ht="15" hidden="false" customHeight="false" outlineLevel="0" collapsed="false">
      <c r="J709" s="10" t="n">
        <f aca="false">IF($D709="",0,IF(AND(OR(Test!$B$4="Hepsi",$B709=Test!$B$4),OR(Test!$B$5="Hepsi",$C709=Test!$B$5)),1,0))</f>
        <v>0</v>
      </c>
      <c r="K709" s="10" t="n">
        <f aca="true">IF($J709=1,RAND(),-1)</f>
        <v>-1</v>
      </c>
      <c r="L709" s="10" t="str">
        <f aca="false">IF($J709=1,RANK($K709,$K$2:$K$1001),"")</f>
        <v/>
      </c>
    </row>
    <row r="710" customFormat="false" ht="15" hidden="false" customHeight="false" outlineLevel="0" collapsed="false">
      <c r="J710" s="10" t="n">
        <f aca="false">IF($D710="",0,IF(AND(OR(Test!$B$4="Hepsi",$B710=Test!$B$4),OR(Test!$B$5="Hepsi",$C710=Test!$B$5)),1,0))</f>
        <v>0</v>
      </c>
      <c r="K710" s="10" t="n">
        <f aca="true">IF($J710=1,RAND(),-1)</f>
        <v>-1</v>
      </c>
      <c r="L710" s="10" t="str">
        <f aca="false">IF($J710=1,RANK($K710,$K$2:$K$1001),"")</f>
        <v/>
      </c>
    </row>
    <row r="711" customFormat="false" ht="15" hidden="false" customHeight="false" outlineLevel="0" collapsed="false">
      <c r="J711" s="10" t="n">
        <f aca="false">IF($D711="",0,IF(AND(OR(Test!$B$4="Hepsi",$B711=Test!$B$4),OR(Test!$B$5="Hepsi",$C711=Test!$B$5)),1,0))</f>
        <v>0</v>
      </c>
      <c r="K711" s="10" t="n">
        <f aca="true">IF($J711=1,RAND(),-1)</f>
        <v>-1</v>
      </c>
      <c r="L711" s="10" t="str">
        <f aca="false">IF($J711=1,RANK($K711,$K$2:$K$1001),"")</f>
        <v/>
      </c>
    </row>
    <row r="712" customFormat="false" ht="15" hidden="false" customHeight="false" outlineLevel="0" collapsed="false">
      <c r="J712" s="10" t="n">
        <f aca="false">IF($D712="",0,IF(AND(OR(Test!$B$4="Hepsi",$B712=Test!$B$4),OR(Test!$B$5="Hepsi",$C712=Test!$B$5)),1,0))</f>
        <v>0</v>
      </c>
      <c r="K712" s="10" t="n">
        <f aca="true">IF($J712=1,RAND(),-1)</f>
        <v>-1</v>
      </c>
      <c r="L712" s="10" t="str">
        <f aca="false">IF($J712=1,RANK($K712,$K$2:$K$1001),"")</f>
        <v/>
      </c>
    </row>
    <row r="713" customFormat="false" ht="15" hidden="false" customHeight="false" outlineLevel="0" collapsed="false">
      <c r="J713" s="10" t="n">
        <f aca="false">IF($D713="",0,IF(AND(OR(Test!$B$4="Hepsi",$B713=Test!$B$4),OR(Test!$B$5="Hepsi",$C713=Test!$B$5)),1,0))</f>
        <v>0</v>
      </c>
      <c r="K713" s="10" t="n">
        <f aca="true">IF($J713=1,RAND(),-1)</f>
        <v>-1</v>
      </c>
      <c r="L713" s="10" t="str">
        <f aca="false">IF($J713=1,RANK($K713,$K$2:$K$1001),"")</f>
        <v/>
      </c>
    </row>
    <row r="714" customFormat="false" ht="15" hidden="false" customHeight="false" outlineLevel="0" collapsed="false">
      <c r="J714" s="10" t="n">
        <f aca="false">IF($D714="",0,IF(AND(OR(Test!$B$4="Hepsi",$B714=Test!$B$4),OR(Test!$B$5="Hepsi",$C714=Test!$B$5)),1,0))</f>
        <v>0</v>
      </c>
      <c r="K714" s="10" t="n">
        <f aca="true">IF($J714=1,RAND(),-1)</f>
        <v>-1</v>
      </c>
      <c r="L714" s="10" t="str">
        <f aca="false">IF($J714=1,RANK($K714,$K$2:$K$1001),"")</f>
        <v/>
      </c>
    </row>
    <row r="715" customFormat="false" ht="15" hidden="false" customHeight="false" outlineLevel="0" collapsed="false">
      <c r="J715" s="10" t="n">
        <f aca="false">IF($D715="",0,IF(AND(OR(Test!$B$4="Hepsi",$B715=Test!$B$4),OR(Test!$B$5="Hepsi",$C715=Test!$B$5)),1,0))</f>
        <v>0</v>
      </c>
      <c r="K715" s="10" t="n">
        <f aca="true">IF($J715=1,RAND(),-1)</f>
        <v>-1</v>
      </c>
      <c r="L715" s="10" t="str">
        <f aca="false">IF($J715=1,RANK($K715,$K$2:$K$1001),"")</f>
        <v/>
      </c>
    </row>
    <row r="716" customFormat="false" ht="15" hidden="false" customHeight="false" outlineLevel="0" collapsed="false">
      <c r="J716" s="10" t="n">
        <f aca="false">IF($D716="",0,IF(AND(OR(Test!$B$4="Hepsi",$B716=Test!$B$4),OR(Test!$B$5="Hepsi",$C716=Test!$B$5)),1,0))</f>
        <v>0</v>
      </c>
      <c r="K716" s="10" t="n">
        <f aca="true">IF($J716=1,RAND(),-1)</f>
        <v>-1</v>
      </c>
      <c r="L716" s="10" t="str">
        <f aca="false">IF($J716=1,RANK($K716,$K$2:$K$1001),"")</f>
        <v/>
      </c>
    </row>
    <row r="717" customFormat="false" ht="15" hidden="false" customHeight="false" outlineLevel="0" collapsed="false">
      <c r="J717" s="10" t="n">
        <f aca="false">IF($D717="",0,IF(AND(OR(Test!$B$4="Hepsi",$B717=Test!$B$4),OR(Test!$B$5="Hepsi",$C717=Test!$B$5)),1,0))</f>
        <v>0</v>
      </c>
      <c r="K717" s="10" t="n">
        <f aca="true">IF($J717=1,RAND(),-1)</f>
        <v>-1</v>
      </c>
      <c r="L717" s="10" t="str">
        <f aca="false">IF($J717=1,RANK($K717,$K$2:$K$1001),"")</f>
        <v/>
      </c>
    </row>
    <row r="718" customFormat="false" ht="15" hidden="false" customHeight="false" outlineLevel="0" collapsed="false">
      <c r="J718" s="10" t="n">
        <f aca="false">IF($D718="",0,IF(AND(OR(Test!$B$4="Hepsi",$B718=Test!$B$4),OR(Test!$B$5="Hepsi",$C718=Test!$B$5)),1,0))</f>
        <v>0</v>
      </c>
      <c r="K718" s="10" t="n">
        <f aca="true">IF($J718=1,RAND(),-1)</f>
        <v>-1</v>
      </c>
      <c r="L718" s="10" t="str">
        <f aca="false">IF($J718=1,RANK($K718,$K$2:$K$1001),"")</f>
        <v/>
      </c>
    </row>
    <row r="719" customFormat="false" ht="15" hidden="false" customHeight="false" outlineLevel="0" collapsed="false">
      <c r="J719" s="10" t="n">
        <f aca="false">IF($D719="",0,IF(AND(OR(Test!$B$4="Hepsi",$B719=Test!$B$4),OR(Test!$B$5="Hepsi",$C719=Test!$B$5)),1,0))</f>
        <v>0</v>
      </c>
      <c r="K719" s="10" t="n">
        <f aca="true">IF($J719=1,RAND(),-1)</f>
        <v>-1</v>
      </c>
      <c r="L719" s="10" t="str">
        <f aca="false">IF($J719=1,RANK($K719,$K$2:$K$1001),"")</f>
        <v/>
      </c>
    </row>
    <row r="720" customFormat="false" ht="15" hidden="false" customHeight="false" outlineLevel="0" collapsed="false">
      <c r="J720" s="10" t="n">
        <f aca="false">IF($D720="",0,IF(AND(OR(Test!$B$4="Hepsi",$B720=Test!$B$4),OR(Test!$B$5="Hepsi",$C720=Test!$B$5)),1,0))</f>
        <v>0</v>
      </c>
      <c r="K720" s="10" t="n">
        <f aca="true">IF($J720=1,RAND(),-1)</f>
        <v>-1</v>
      </c>
      <c r="L720" s="10" t="str">
        <f aca="false">IF($J720=1,RANK($K720,$K$2:$K$1001),"")</f>
        <v/>
      </c>
    </row>
    <row r="721" customFormat="false" ht="15" hidden="false" customHeight="false" outlineLevel="0" collapsed="false">
      <c r="J721" s="10" t="n">
        <f aca="false">IF($D721="",0,IF(AND(OR(Test!$B$4="Hepsi",$B721=Test!$B$4),OR(Test!$B$5="Hepsi",$C721=Test!$B$5)),1,0))</f>
        <v>0</v>
      </c>
      <c r="K721" s="10" t="n">
        <f aca="true">IF($J721=1,RAND(),-1)</f>
        <v>-1</v>
      </c>
      <c r="L721" s="10" t="str">
        <f aca="false">IF($J721=1,RANK($K721,$K$2:$K$1001),"")</f>
        <v/>
      </c>
    </row>
    <row r="722" customFormat="false" ht="15" hidden="false" customHeight="false" outlineLevel="0" collapsed="false">
      <c r="J722" s="10" t="n">
        <f aca="false">IF($D722="",0,IF(AND(OR(Test!$B$4="Hepsi",$B722=Test!$B$4),OR(Test!$B$5="Hepsi",$C722=Test!$B$5)),1,0))</f>
        <v>0</v>
      </c>
      <c r="K722" s="10" t="n">
        <f aca="true">IF($J722=1,RAND(),-1)</f>
        <v>-1</v>
      </c>
      <c r="L722" s="10" t="str">
        <f aca="false">IF($J722=1,RANK($K722,$K$2:$K$1001),"")</f>
        <v/>
      </c>
    </row>
    <row r="723" customFormat="false" ht="15" hidden="false" customHeight="false" outlineLevel="0" collapsed="false">
      <c r="J723" s="10" t="n">
        <f aca="false">IF($D723="",0,IF(AND(OR(Test!$B$4="Hepsi",$B723=Test!$B$4),OR(Test!$B$5="Hepsi",$C723=Test!$B$5)),1,0))</f>
        <v>0</v>
      </c>
      <c r="K723" s="10" t="n">
        <f aca="true">IF($J723=1,RAND(),-1)</f>
        <v>-1</v>
      </c>
      <c r="L723" s="10" t="str">
        <f aca="false">IF($J723=1,RANK($K723,$K$2:$K$1001),"")</f>
        <v/>
      </c>
    </row>
    <row r="724" customFormat="false" ht="15" hidden="false" customHeight="false" outlineLevel="0" collapsed="false">
      <c r="J724" s="10" t="n">
        <f aca="false">IF($D724="",0,IF(AND(OR(Test!$B$4="Hepsi",$B724=Test!$B$4),OR(Test!$B$5="Hepsi",$C724=Test!$B$5)),1,0))</f>
        <v>0</v>
      </c>
      <c r="K724" s="10" t="n">
        <f aca="true">IF($J724=1,RAND(),-1)</f>
        <v>-1</v>
      </c>
      <c r="L724" s="10" t="str">
        <f aca="false">IF($J724=1,RANK($K724,$K$2:$K$1001),"")</f>
        <v/>
      </c>
    </row>
    <row r="725" customFormat="false" ht="15" hidden="false" customHeight="false" outlineLevel="0" collapsed="false">
      <c r="J725" s="10" t="n">
        <f aca="false">IF($D725="",0,IF(AND(OR(Test!$B$4="Hepsi",$B725=Test!$B$4),OR(Test!$B$5="Hepsi",$C725=Test!$B$5)),1,0))</f>
        <v>0</v>
      </c>
      <c r="K725" s="10" t="n">
        <f aca="true">IF($J725=1,RAND(),-1)</f>
        <v>-1</v>
      </c>
      <c r="L725" s="10" t="str">
        <f aca="false">IF($J725=1,RANK($K725,$K$2:$K$1001),"")</f>
        <v/>
      </c>
    </row>
    <row r="726" customFormat="false" ht="15" hidden="false" customHeight="false" outlineLevel="0" collapsed="false">
      <c r="J726" s="10" t="n">
        <f aca="false">IF($D726="",0,IF(AND(OR(Test!$B$4="Hepsi",$B726=Test!$B$4),OR(Test!$B$5="Hepsi",$C726=Test!$B$5)),1,0))</f>
        <v>0</v>
      </c>
      <c r="K726" s="10" t="n">
        <f aca="true">IF($J726=1,RAND(),-1)</f>
        <v>-1</v>
      </c>
      <c r="L726" s="10" t="str">
        <f aca="false">IF($J726=1,RANK($K726,$K$2:$K$1001),"")</f>
        <v/>
      </c>
    </row>
    <row r="727" customFormat="false" ht="15" hidden="false" customHeight="false" outlineLevel="0" collapsed="false">
      <c r="J727" s="10" t="n">
        <f aca="false">IF($D727="",0,IF(AND(OR(Test!$B$4="Hepsi",$B727=Test!$B$4),OR(Test!$B$5="Hepsi",$C727=Test!$B$5)),1,0))</f>
        <v>0</v>
      </c>
      <c r="K727" s="10" t="n">
        <f aca="true">IF($J727=1,RAND(),-1)</f>
        <v>-1</v>
      </c>
      <c r="L727" s="10" t="str">
        <f aca="false">IF($J727=1,RANK($K727,$K$2:$K$1001),"")</f>
        <v/>
      </c>
    </row>
    <row r="728" customFormat="false" ht="15" hidden="false" customHeight="false" outlineLevel="0" collapsed="false">
      <c r="J728" s="10" t="n">
        <f aca="false">IF($D728="",0,IF(AND(OR(Test!$B$4="Hepsi",$B728=Test!$B$4),OR(Test!$B$5="Hepsi",$C728=Test!$B$5)),1,0))</f>
        <v>0</v>
      </c>
      <c r="K728" s="10" t="n">
        <f aca="true">IF($J728=1,RAND(),-1)</f>
        <v>-1</v>
      </c>
      <c r="L728" s="10" t="str">
        <f aca="false">IF($J728=1,RANK($K728,$K$2:$K$1001),"")</f>
        <v/>
      </c>
    </row>
    <row r="729" customFormat="false" ht="15" hidden="false" customHeight="false" outlineLevel="0" collapsed="false">
      <c r="J729" s="10" t="n">
        <f aca="false">IF($D729="",0,IF(AND(OR(Test!$B$4="Hepsi",$B729=Test!$B$4),OR(Test!$B$5="Hepsi",$C729=Test!$B$5)),1,0))</f>
        <v>0</v>
      </c>
      <c r="K729" s="10" t="n">
        <f aca="true">IF($J729=1,RAND(),-1)</f>
        <v>-1</v>
      </c>
      <c r="L729" s="10" t="str">
        <f aca="false">IF($J729=1,RANK($K729,$K$2:$K$1001),"")</f>
        <v/>
      </c>
    </row>
    <row r="730" customFormat="false" ht="15" hidden="false" customHeight="false" outlineLevel="0" collapsed="false">
      <c r="J730" s="10" t="n">
        <f aca="false">IF($D730="",0,IF(AND(OR(Test!$B$4="Hepsi",$B730=Test!$B$4),OR(Test!$B$5="Hepsi",$C730=Test!$B$5)),1,0))</f>
        <v>0</v>
      </c>
      <c r="K730" s="10" t="n">
        <f aca="true">IF($J730=1,RAND(),-1)</f>
        <v>-1</v>
      </c>
      <c r="L730" s="10" t="str">
        <f aca="false">IF($J730=1,RANK($K730,$K$2:$K$1001),"")</f>
        <v/>
      </c>
    </row>
    <row r="731" customFormat="false" ht="15" hidden="false" customHeight="false" outlineLevel="0" collapsed="false">
      <c r="J731" s="10" t="n">
        <f aca="false">IF($D731="",0,IF(AND(OR(Test!$B$4="Hepsi",$B731=Test!$B$4),OR(Test!$B$5="Hepsi",$C731=Test!$B$5)),1,0))</f>
        <v>0</v>
      </c>
      <c r="K731" s="10" t="n">
        <f aca="true">IF($J731=1,RAND(),-1)</f>
        <v>-1</v>
      </c>
      <c r="L731" s="10" t="str">
        <f aca="false">IF($J731=1,RANK($K731,$K$2:$K$1001),"")</f>
        <v/>
      </c>
    </row>
    <row r="732" customFormat="false" ht="15" hidden="false" customHeight="false" outlineLevel="0" collapsed="false">
      <c r="J732" s="10" t="n">
        <f aca="false">IF($D732="",0,IF(AND(OR(Test!$B$4="Hepsi",$B732=Test!$B$4),OR(Test!$B$5="Hepsi",$C732=Test!$B$5)),1,0))</f>
        <v>0</v>
      </c>
      <c r="K732" s="10" t="n">
        <f aca="true">IF($J732=1,RAND(),-1)</f>
        <v>-1</v>
      </c>
      <c r="L732" s="10" t="str">
        <f aca="false">IF($J732=1,RANK($K732,$K$2:$K$1001),"")</f>
        <v/>
      </c>
    </row>
    <row r="733" customFormat="false" ht="15" hidden="false" customHeight="false" outlineLevel="0" collapsed="false">
      <c r="J733" s="10" t="n">
        <f aca="false">IF($D733="",0,IF(AND(OR(Test!$B$4="Hepsi",$B733=Test!$B$4),OR(Test!$B$5="Hepsi",$C733=Test!$B$5)),1,0))</f>
        <v>0</v>
      </c>
      <c r="K733" s="10" t="n">
        <f aca="true">IF($J733=1,RAND(),-1)</f>
        <v>-1</v>
      </c>
      <c r="L733" s="10" t="str">
        <f aca="false">IF($J733=1,RANK($K733,$K$2:$K$1001),"")</f>
        <v/>
      </c>
    </row>
    <row r="734" customFormat="false" ht="15" hidden="false" customHeight="false" outlineLevel="0" collapsed="false">
      <c r="J734" s="10" t="n">
        <f aca="false">IF($D734="",0,IF(AND(OR(Test!$B$4="Hepsi",$B734=Test!$B$4),OR(Test!$B$5="Hepsi",$C734=Test!$B$5)),1,0))</f>
        <v>0</v>
      </c>
      <c r="K734" s="10" t="n">
        <f aca="true">IF($J734=1,RAND(),-1)</f>
        <v>-1</v>
      </c>
      <c r="L734" s="10" t="str">
        <f aca="false">IF($J734=1,RANK($K734,$K$2:$K$1001),"")</f>
        <v/>
      </c>
    </row>
    <row r="735" customFormat="false" ht="15" hidden="false" customHeight="false" outlineLevel="0" collapsed="false">
      <c r="J735" s="10" t="n">
        <f aca="false">IF($D735="",0,IF(AND(OR(Test!$B$4="Hepsi",$B735=Test!$B$4),OR(Test!$B$5="Hepsi",$C735=Test!$B$5)),1,0))</f>
        <v>0</v>
      </c>
      <c r="K735" s="10" t="n">
        <f aca="true">IF($J735=1,RAND(),-1)</f>
        <v>-1</v>
      </c>
      <c r="L735" s="10" t="str">
        <f aca="false">IF($J735=1,RANK($K735,$K$2:$K$1001),"")</f>
        <v/>
      </c>
    </row>
    <row r="736" customFormat="false" ht="15" hidden="false" customHeight="false" outlineLevel="0" collapsed="false">
      <c r="J736" s="10" t="n">
        <f aca="false">IF($D736="",0,IF(AND(OR(Test!$B$4="Hepsi",$B736=Test!$B$4),OR(Test!$B$5="Hepsi",$C736=Test!$B$5)),1,0))</f>
        <v>0</v>
      </c>
      <c r="K736" s="10" t="n">
        <f aca="true">IF($J736=1,RAND(),-1)</f>
        <v>-1</v>
      </c>
      <c r="L736" s="10" t="str">
        <f aca="false">IF($J736=1,RANK($K736,$K$2:$K$1001),"")</f>
        <v/>
      </c>
    </row>
    <row r="737" customFormat="false" ht="15" hidden="false" customHeight="false" outlineLevel="0" collapsed="false">
      <c r="J737" s="10" t="n">
        <f aca="false">IF($D737="",0,IF(AND(OR(Test!$B$4="Hepsi",$B737=Test!$B$4),OR(Test!$B$5="Hepsi",$C737=Test!$B$5)),1,0))</f>
        <v>0</v>
      </c>
      <c r="K737" s="10" t="n">
        <f aca="true">IF($J737=1,RAND(),-1)</f>
        <v>-1</v>
      </c>
      <c r="L737" s="10" t="str">
        <f aca="false">IF($J737=1,RANK($K737,$K$2:$K$1001),"")</f>
        <v/>
      </c>
    </row>
    <row r="738" customFormat="false" ht="15" hidden="false" customHeight="false" outlineLevel="0" collapsed="false">
      <c r="J738" s="10" t="n">
        <f aca="false">IF($D738="",0,IF(AND(OR(Test!$B$4="Hepsi",$B738=Test!$B$4),OR(Test!$B$5="Hepsi",$C738=Test!$B$5)),1,0))</f>
        <v>0</v>
      </c>
      <c r="K738" s="10" t="n">
        <f aca="true">IF($J738=1,RAND(),-1)</f>
        <v>-1</v>
      </c>
      <c r="L738" s="10" t="str">
        <f aca="false">IF($J738=1,RANK($K738,$K$2:$K$1001),"")</f>
        <v/>
      </c>
    </row>
    <row r="739" customFormat="false" ht="15" hidden="false" customHeight="false" outlineLevel="0" collapsed="false">
      <c r="J739" s="10" t="n">
        <f aca="false">IF($D739="",0,IF(AND(OR(Test!$B$4="Hepsi",$B739=Test!$B$4),OR(Test!$B$5="Hepsi",$C739=Test!$B$5)),1,0))</f>
        <v>0</v>
      </c>
      <c r="K739" s="10" t="n">
        <f aca="true">IF($J739=1,RAND(),-1)</f>
        <v>-1</v>
      </c>
      <c r="L739" s="10" t="str">
        <f aca="false">IF($J739=1,RANK($K739,$K$2:$K$1001),"")</f>
        <v/>
      </c>
    </row>
    <row r="740" customFormat="false" ht="15" hidden="false" customHeight="false" outlineLevel="0" collapsed="false">
      <c r="J740" s="10" t="n">
        <f aca="false">IF($D740="",0,IF(AND(OR(Test!$B$4="Hepsi",$B740=Test!$B$4),OR(Test!$B$5="Hepsi",$C740=Test!$B$5)),1,0))</f>
        <v>0</v>
      </c>
      <c r="K740" s="10" t="n">
        <f aca="true">IF($J740=1,RAND(),-1)</f>
        <v>-1</v>
      </c>
      <c r="L740" s="10" t="str">
        <f aca="false">IF($J740=1,RANK($K740,$K$2:$K$1001),"")</f>
        <v/>
      </c>
    </row>
    <row r="741" customFormat="false" ht="15" hidden="false" customHeight="false" outlineLevel="0" collapsed="false">
      <c r="J741" s="10" t="n">
        <f aca="false">IF($D741="",0,IF(AND(OR(Test!$B$4="Hepsi",$B741=Test!$B$4),OR(Test!$B$5="Hepsi",$C741=Test!$B$5)),1,0))</f>
        <v>0</v>
      </c>
      <c r="K741" s="10" t="n">
        <f aca="true">IF($J741=1,RAND(),-1)</f>
        <v>-1</v>
      </c>
      <c r="L741" s="10" t="str">
        <f aca="false">IF($J741=1,RANK($K741,$K$2:$K$1001),"")</f>
        <v/>
      </c>
    </row>
    <row r="742" customFormat="false" ht="15" hidden="false" customHeight="false" outlineLevel="0" collapsed="false">
      <c r="J742" s="10" t="n">
        <f aca="false">IF($D742="",0,IF(AND(OR(Test!$B$4="Hepsi",$B742=Test!$B$4),OR(Test!$B$5="Hepsi",$C742=Test!$B$5)),1,0))</f>
        <v>0</v>
      </c>
      <c r="K742" s="10" t="n">
        <f aca="true">IF($J742=1,RAND(),-1)</f>
        <v>-1</v>
      </c>
      <c r="L742" s="10" t="str">
        <f aca="false">IF($J742=1,RANK($K742,$K$2:$K$1001),"")</f>
        <v/>
      </c>
    </row>
    <row r="743" customFormat="false" ht="15" hidden="false" customHeight="false" outlineLevel="0" collapsed="false">
      <c r="J743" s="10" t="n">
        <f aca="false">IF($D743="",0,IF(AND(OR(Test!$B$4="Hepsi",$B743=Test!$B$4),OR(Test!$B$5="Hepsi",$C743=Test!$B$5)),1,0))</f>
        <v>0</v>
      </c>
      <c r="K743" s="10" t="n">
        <f aca="true">IF($J743=1,RAND(),-1)</f>
        <v>-1</v>
      </c>
      <c r="L743" s="10" t="str">
        <f aca="false">IF($J743=1,RANK($K743,$K$2:$K$1001),"")</f>
        <v/>
      </c>
    </row>
    <row r="744" customFormat="false" ht="15" hidden="false" customHeight="false" outlineLevel="0" collapsed="false">
      <c r="J744" s="10" t="n">
        <f aca="false">IF($D744="",0,IF(AND(OR(Test!$B$4="Hepsi",$B744=Test!$B$4),OR(Test!$B$5="Hepsi",$C744=Test!$B$5)),1,0))</f>
        <v>0</v>
      </c>
      <c r="K744" s="10" t="n">
        <f aca="true">IF($J744=1,RAND(),-1)</f>
        <v>-1</v>
      </c>
      <c r="L744" s="10" t="str">
        <f aca="false">IF($J744=1,RANK($K744,$K$2:$K$1001),"")</f>
        <v/>
      </c>
    </row>
    <row r="745" customFormat="false" ht="15" hidden="false" customHeight="false" outlineLevel="0" collapsed="false">
      <c r="J745" s="10" t="n">
        <f aca="false">IF($D745="",0,IF(AND(OR(Test!$B$4="Hepsi",$B745=Test!$B$4),OR(Test!$B$5="Hepsi",$C745=Test!$B$5)),1,0))</f>
        <v>0</v>
      </c>
      <c r="K745" s="10" t="n">
        <f aca="true">IF($J745=1,RAND(),-1)</f>
        <v>-1</v>
      </c>
      <c r="L745" s="10" t="str">
        <f aca="false">IF($J745=1,RANK($K745,$K$2:$K$1001),"")</f>
        <v/>
      </c>
    </row>
    <row r="746" customFormat="false" ht="15" hidden="false" customHeight="false" outlineLevel="0" collapsed="false">
      <c r="J746" s="10" t="n">
        <f aca="false">IF($D746="",0,IF(AND(OR(Test!$B$4="Hepsi",$B746=Test!$B$4),OR(Test!$B$5="Hepsi",$C746=Test!$B$5)),1,0))</f>
        <v>0</v>
      </c>
      <c r="K746" s="10" t="n">
        <f aca="true">IF($J746=1,RAND(),-1)</f>
        <v>-1</v>
      </c>
      <c r="L746" s="10" t="str">
        <f aca="false">IF($J746=1,RANK($K746,$K$2:$K$1001),"")</f>
        <v/>
      </c>
    </row>
    <row r="747" customFormat="false" ht="15" hidden="false" customHeight="false" outlineLevel="0" collapsed="false">
      <c r="J747" s="10" t="n">
        <f aca="false">IF($D747="",0,IF(AND(OR(Test!$B$4="Hepsi",$B747=Test!$B$4),OR(Test!$B$5="Hepsi",$C747=Test!$B$5)),1,0))</f>
        <v>0</v>
      </c>
      <c r="K747" s="10" t="n">
        <f aca="true">IF($J747=1,RAND(),-1)</f>
        <v>-1</v>
      </c>
      <c r="L747" s="10" t="str">
        <f aca="false">IF($J747=1,RANK($K747,$K$2:$K$1001),"")</f>
        <v/>
      </c>
    </row>
    <row r="748" customFormat="false" ht="15" hidden="false" customHeight="false" outlineLevel="0" collapsed="false">
      <c r="J748" s="10" t="n">
        <f aca="false">IF($D748="",0,IF(AND(OR(Test!$B$4="Hepsi",$B748=Test!$B$4),OR(Test!$B$5="Hepsi",$C748=Test!$B$5)),1,0))</f>
        <v>0</v>
      </c>
      <c r="K748" s="10" t="n">
        <f aca="true">IF($J748=1,RAND(),-1)</f>
        <v>-1</v>
      </c>
      <c r="L748" s="10" t="str">
        <f aca="false">IF($J748=1,RANK($K748,$K$2:$K$1001),"")</f>
        <v/>
      </c>
    </row>
    <row r="749" customFormat="false" ht="15" hidden="false" customHeight="false" outlineLevel="0" collapsed="false">
      <c r="J749" s="10" t="n">
        <f aca="false">IF($D749="",0,IF(AND(OR(Test!$B$4="Hepsi",$B749=Test!$B$4),OR(Test!$B$5="Hepsi",$C749=Test!$B$5)),1,0))</f>
        <v>0</v>
      </c>
      <c r="K749" s="10" t="n">
        <f aca="true">IF($J749=1,RAND(),-1)</f>
        <v>-1</v>
      </c>
      <c r="L749" s="10" t="str">
        <f aca="false">IF($J749=1,RANK($K749,$K$2:$K$1001),"")</f>
        <v/>
      </c>
    </row>
    <row r="750" customFormat="false" ht="15" hidden="false" customHeight="false" outlineLevel="0" collapsed="false">
      <c r="J750" s="10" t="n">
        <f aca="false">IF($D750="",0,IF(AND(OR(Test!$B$4="Hepsi",$B750=Test!$B$4),OR(Test!$B$5="Hepsi",$C750=Test!$B$5)),1,0))</f>
        <v>0</v>
      </c>
      <c r="K750" s="10" t="n">
        <f aca="true">IF($J750=1,RAND(),-1)</f>
        <v>-1</v>
      </c>
      <c r="L750" s="10" t="str">
        <f aca="false">IF($J750=1,RANK($K750,$K$2:$K$1001),"")</f>
        <v/>
      </c>
    </row>
    <row r="751" customFormat="false" ht="15" hidden="false" customHeight="false" outlineLevel="0" collapsed="false">
      <c r="J751" s="10" t="n">
        <f aca="false">IF($D751="",0,IF(AND(OR(Test!$B$4="Hepsi",$B751=Test!$B$4),OR(Test!$B$5="Hepsi",$C751=Test!$B$5)),1,0))</f>
        <v>0</v>
      </c>
      <c r="K751" s="10" t="n">
        <f aca="true">IF($J751=1,RAND(),-1)</f>
        <v>-1</v>
      </c>
      <c r="L751" s="10" t="str">
        <f aca="false">IF($J751=1,RANK($K751,$K$2:$K$1001),"")</f>
        <v/>
      </c>
    </row>
    <row r="752" customFormat="false" ht="15" hidden="false" customHeight="false" outlineLevel="0" collapsed="false">
      <c r="J752" s="10" t="n">
        <f aca="false">IF($D752="",0,IF(AND(OR(Test!$B$4="Hepsi",$B752=Test!$B$4),OR(Test!$B$5="Hepsi",$C752=Test!$B$5)),1,0))</f>
        <v>0</v>
      </c>
      <c r="K752" s="10" t="n">
        <f aca="true">IF($J752=1,RAND(),-1)</f>
        <v>-1</v>
      </c>
      <c r="L752" s="10" t="str">
        <f aca="false">IF($J752=1,RANK($K752,$K$2:$K$1001),"")</f>
        <v/>
      </c>
    </row>
    <row r="753" customFormat="false" ht="15" hidden="false" customHeight="false" outlineLevel="0" collapsed="false">
      <c r="J753" s="10" t="n">
        <f aca="false">IF($D753="",0,IF(AND(OR(Test!$B$4="Hepsi",$B753=Test!$B$4),OR(Test!$B$5="Hepsi",$C753=Test!$B$5)),1,0))</f>
        <v>0</v>
      </c>
      <c r="K753" s="10" t="n">
        <f aca="true">IF($J753=1,RAND(),-1)</f>
        <v>-1</v>
      </c>
      <c r="L753" s="10" t="str">
        <f aca="false">IF($J753=1,RANK($K753,$K$2:$K$1001),"")</f>
        <v/>
      </c>
    </row>
    <row r="754" customFormat="false" ht="15" hidden="false" customHeight="false" outlineLevel="0" collapsed="false">
      <c r="J754" s="10" t="n">
        <f aca="false">IF($D754="",0,IF(AND(OR(Test!$B$4="Hepsi",$B754=Test!$B$4),OR(Test!$B$5="Hepsi",$C754=Test!$B$5)),1,0))</f>
        <v>0</v>
      </c>
      <c r="K754" s="10" t="n">
        <f aca="true">IF($J754=1,RAND(),-1)</f>
        <v>-1</v>
      </c>
      <c r="L754" s="10" t="str">
        <f aca="false">IF($J754=1,RANK($K754,$K$2:$K$1001),"")</f>
        <v/>
      </c>
    </row>
    <row r="755" customFormat="false" ht="15" hidden="false" customHeight="false" outlineLevel="0" collapsed="false">
      <c r="J755" s="10" t="n">
        <f aca="false">IF($D755="",0,IF(AND(OR(Test!$B$4="Hepsi",$B755=Test!$B$4),OR(Test!$B$5="Hepsi",$C755=Test!$B$5)),1,0))</f>
        <v>0</v>
      </c>
      <c r="K755" s="10" t="n">
        <f aca="true">IF($J755=1,RAND(),-1)</f>
        <v>-1</v>
      </c>
      <c r="L755" s="10" t="str">
        <f aca="false">IF($J755=1,RANK($K755,$K$2:$K$1001),"")</f>
        <v/>
      </c>
    </row>
    <row r="756" customFormat="false" ht="15" hidden="false" customHeight="false" outlineLevel="0" collapsed="false">
      <c r="J756" s="10" t="n">
        <f aca="false">IF($D756="",0,IF(AND(OR(Test!$B$4="Hepsi",$B756=Test!$B$4),OR(Test!$B$5="Hepsi",$C756=Test!$B$5)),1,0))</f>
        <v>0</v>
      </c>
      <c r="K756" s="10" t="n">
        <f aca="true">IF($J756=1,RAND(),-1)</f>
        <v>-1</v>
      </c>
      <c r="L756" s="10" t="str">
        <f aca="false">IF($J756=1,RANK($K756,$K$2:$K$1001),"")</f>
        <v/>
      </c>
    </row>
    <row r="757" customFormat="false" ht="15" hidden="false" customHeight="false" outlineLevel="0" collapsed="false">
      <c r="J757" s="10" t="n">
        <f aca="false">IF($D757="",0,IF(AND(OR(Test!$B$4="Hepsi",$B757=Test!$B$4),OR(Test!$B$5="Hepsi",$C757=Test!$B$5)),1,0))</f>
        <v>0</v>
      </c>
      <c r="K757" s="10" t="n">
        <f aca="true">IF($J757=1,RAND(),-1)</f>
        <v>-1</v>
      </c>
      <c r="L757" s="10" t="str">
        <f aca="false">IF($J757=1,RANK($K757,$K$2:$K$1001),"")</f>
        <v/>
      </c>
    </row>
    <row r="758" customFormat="false" ht="15" hidden="false" customHeight="false" outlineLevel="0" collapsed="false">
      <c r="J758" s="10" t="n">
        <f aca="false">IF($D758="",0,IF(AND(OR(Test!$B$4="Hepsi",$B758=Test!$B$4),OR(Test!$B$5="Hepsi",$C758=Test!$B$5)),1,0))</f>
        <v>0</v>
      </c>
      <c r="K758" s="10" t="n">
        <f aca="true">IF($J758=1,RAND(),-1)</f>
        <v>-1</v>
      </c>
      <c r="L758" s="10" t="str">
        <f aca="false">IF($J758=1,RANK($K758,$K$2:$K$1001),"")</f>
        <v/>
      </c>
    </row>
    <row r="759" customFormat="false" ht="15" hidden="false" customHeight="false" outlineLevel="0" collapsed="false">
      <c r="J759" s="10" t="n">
        <f aca="false">IF($D759="",0,IF(AND(OR(Test!$B$4="Hepsi",$B759=Test!$B$4),OR(Test!$B$5="Hepsi",$C759=Test!$B$5)),1,0))</f>
        <v>0</v>
      </c>
      <c r="K759" s="10" t="n">
        <f aca="true">IF($J759=1,RAND(),-1)</f>
        <v>-1</v>
      </c>
      <c r="L759" s="10" t="str">
        <f aca="false">IF($J759=1,RANK($K759,$K$2:$K$1001),"")</f>
        <v/>
      </c>
    </row>
    <row r="760" customFormat="false" ht="15" hidden="false" customHeight="false" outlineLevel="0" collapsed="false">
      <c r="J760" s="10" t="n">
        <f aca="false">IF($D760="",0,IF(AND(OR(Test!$B$4="Hepsi",$B760=Test!$B$4),OR(Test!$B$5="Hepsi",$C760=Test!$B$5)),1,0))</f>
        <v>0</v>
      </c>
      <c r="K760" s="10" t="n">
        <f aca="true">IF($J760=1,RAND(),-1)</f>
        <v>-1</v>
      </c>
      <c r="L760" s="10" t="str">
        <f aca="false">IF($J760=1,RANK($K760,$K$2:$K$1001),"")</f>
        <v/>
      </c>
    </row>
    <row r="761" customFormat="false" ht="15" hidden="false" customHeight="false" outlineLevel="0" collapsed="false">
      <c r="J761" s="10" t="n">
        <f aca="false">IF($D761="",0,IF(AND(OR(Test!$B$4="Hepsi",$B761=Test!$B$4),OR(Test!$B$5="Hepsi",$C761=Test!$B$5)),1,0))</f>
        <v>0</v>
      </c>
      <c r="K761" s="10" t="n">
        <f aca="true">IF($J761=1,RAND(),-1)</f>
        <v>-1</v>
      </c>
      <c r="L761" s="10" t="str">
        <f aca="false">IF($J761=1,RANK($K761,$K$2:$K$1001),"")</f>
        <v/>
      </c>
    </row>
    <row r="762" customFormat="false" ht="15" hidden="false" customHeight="false" outlineLevel="0" collapsed="false">
      <c r="J762" s="10" t="n">
        <f aca="false">IF($D762="",0,IF(AND(OR(Test!$B$4="Hepsi",$B762=Test!$B$4),OR(Test!$B$5="Hepsi",$C762=Test!$B$5)),1,0))</f>
        <v>0</v>
      </c>
      <c r="K762" s="10" t="n">
        <f aca="true">IF($J762=1,RAND(),-1)</f>
        <v>-1</v>
      </c>
      <c r="L762" s="10" t="str">
        <f aca="false">IF($J762=1,RANK($K762,$K$2:$K$1001),"")</f>
        <v/>
      </c>
    </row>
    <row r="763" customFormat="false" ht="15" hidden="false" customHeight="false" outlineLevel="0" collapsed="false">
      <c r="J763" s="10" t="n">
        <f aca="false">IF($D763="",0,IF(AND(OR(Test!$B$4="Hepsi",$B763=Test!$B$4),OR(Test!$B$5="Hepsi",$C763=Test!$B$5)),1,0))</f>
        <v>0</v>
      </c>
      <c r="K763" s="10" t="n">
        <f aca="true">IF($J763=1,RAND(),-1)</f>
        <v>-1</v>
      </c>
      <c r="L763" s="10" t="str">
        <f aca="false">IF($J763=1,RANK($K763,$K$2:$K$1001),"")</f>
        <v/>
      </c>
    </row>
    <row r="764" customFormat="false" ht="15" hidden="false" customHeight="false" outlineLevel="0" collapsed="false">
      <c r="J764" s="10" t="n">
        <f aca="false">IF($D764="",0,IF(AND(OR(Test!$B$4="Hepsi",$B764=Test!$B$4),OR(Test!$B$5="Hepsi",$C764=Test!$B$5)),1,0))</f>
        <v>0</v>
      </c>
      <c r="K764" s="10" t="n">
        <f aca="true">IF($J764=1,RAND(),-1)</f>
        <v>-1</v>
      </c>
      <c r="L764" s="10" t="str">
        <f aca="false">IF($J764=1,RANK($K764,$K$2:$K$1001),"")</f>
        <v/>
      </c>
    </row>
    <row r="765" customFormat="false" ht="15" hidden="false" customHeight="false" outlineLevel="0" collapsed="false">
      <c r="J765" s="10" t="n">
        <f aca="false">IF($D765="",0,IF(AND(OR(Test!$B$4="Hepsi",$B765=Test!$B$4),OR(Test!$B$5="Hepsi",$C765=Test!$B$5)),1,0))</f>
        <v>0</v>
      </c>
      <c r="K765" s="10" t="n">
        <f aca="true">IF($J765=1,RAND(),-1)</f>
        <v>-1</v>
      </c>
      <c r="L765" s="10" t="str">
        <f aca="false">IF($J765=1,RANK($K765,$K$2:$K$1001),"")</f>
        <v/>
      </c>
    </row>
    <row r="766" customFormat="false" ht="15" hidden="false" customHeight="false" outlineLevel="0" collapsed="false">
      <c r="J766" s="10" t="n">
        <f aca="false">IF($D766="",0,IF(AND(OR(Test!$B$4="Hepsi",$B766=Test!$B$4),OR(Test!$B$5="Hepsi",$C766=Test!$B$5)),1,0))</f>
        <v>0</v>
      </c>
      <c r="K766" s="10" t="n">
        <f aca="true">IF($J766=1,RAND(),-1)</f>
        <v>-1</v>
      </c>
      <c r="L766" s="10" t="str">
        <f aca="false">IF($J766=1,RANK($K766,$K$2:$K$1001),"")</f>
        <v/>
      </c>
    </row>
    <row r="767" customFormat="false" ht="15" hidden="false" customHeight="false" outlineLevel="0" collapsed="false">
      <c r="J767" s="10" t="n">
        <f aca="false">IF($D767="",0,IF(AND(OR(Test!$B$4="Hepsi",$B767=Test!$B$4),OR(Test!$B$5="Hepsi",$C767=Test!$B$5)),1,0))</f>
        <v>0</v>
      </c>
      <c r="K767" s="10" t="n">
        <f aca="true">IF($J767=1,RAND(),-1)</f>
        <v>-1</v>
      </c>
      <c r="L767" s="10" t="str">
        <f aca="false">IF($J767=1,RANK($K767,$K$2:$K$1001),"")</f>
        <v/>
      </c>
    </row>
    <row r="768" customFormat="false" ht="15" hidden="false" customHeight="false" outlineLevel="0" collapsed="false">
      <c r="J768" s="10" t="n">
        <f aca="false">IF($D768="",0,IF(AND(OR(Test!$B$4="Hepsi",$B768=Test!$B$4),OR(Test!$B$5="Hepsi",$C768=Test!$B$5)),1,0))</f>
        <v>0</v>
      </c>
      <c r="K768" s="10" t="n">
        <f aca="true">IF($J768=1,RAND(),-1)</f>
        <v>-1</v>
      </c>
      <c r="L768" s="10" t="str">
        <f aca="false">IF($J768=1,RANK($K768,$K$2:$K$1001),"")</f>
        <v/>
      </c>
    </row>
    <row r="769" customFormat="false" ht="15" hidden="false" customHeight="false" outlineLevel="0" collapsed="false">
      <c r="J769" s="10" t="n">
        <f aca="false">IF($D769="",0,IF(AND(OR(Test!$B$4="Hepsi",$B769=Test!$B$4),OR(Test!$B$5="Hepsi",$C769=Test!$B$5)),1,0))</f>
        <v>0</v>
      </c>
      <c r="K769" s="10" t="n">
        <f aca="true">IF($J769=1,RAND(),-1)</f>
        <v>-1</v>
      </c>
      <c r="L769" s="10" t="str">
        <f aca="false">IF($J769=1,RANK($K769,$K$2:$K$1001),"")</f>
        <v/>
      </c>
    </row>
    <row r="770" customFormat="false" ht="15" hidden="false" customHeight="false" outlineLevel="0" collapsed="false">
      <c r="J770" s="10" t="n">
        <f aca="false">IF($D770="",0,IF(AND(OR(Test!$B$4="Hepsi",$B770=Test!$B$4),OR(Test!$B$5="Hepsi",$C770=Test!$B$5)),1,0))</f>
        <v>0</v>
      </c>
      <c r="K770" s="10" t="n">
        <f aca="true">IF($J770=1,RAND(),-1)</f>
        <v>-1</v>
      </c>
      <c r="L770" s="10" t="str">
        <f aca="false">IF($J770=1,RANK($K770,$K$2:$K$1001),"")</f>
        <v/>
      </c>
    </row>
    <row r="771" customFormat="false" ht="15" hidden="false" customHeight="false" outlineLevel="0" collapsed="false">
      <c r="J771" s="10" t="n">
        <f aca="false">IF($D771="",0,IF(AND(OR(Test!$B$4="Hepsi",$B771=Test!$B$4),OR(Test!$B$5="Hepsi",$C771=Test!$B$5)),1,0))</f>
        <v>0</v>
      </c>
      <c r="K771" s="10" t="n">
        <f aca="true">IF($J771=1,RAND(),-1)</f>
        <v>-1</v>
      </c>
      <c r="L771" s="10" t="str">
        <f aca="false">IF($J771=1,RANK($K771,$K$2:$K$1001),"")</f>
        <v/>
      </c>
    </row>
    <row r="772" customFormat="false" ht="15" hidden="false" customHeight="false" outlineLevel="0" collapsed="false">
      <c r="J772" s="10" t="n">
        <f aca="false">IF($D772="",0,IF(AND(OR(Test!$B$4="Hepsi",$B772=Test!$B$4),OR(Test!$B$5="Hepsi",$C772=Test!$B$5)),1,0))</f>
        <v>0</v>
      </c>
      <c r="K772" s="10" t="n">
        <f aca="true">IF($J772=1,RAND(),-1)</f>
        <v>-1</v>
      </c>
      <c r="L772" s="10" t="str">
        <f aca="false">IF($J772=1,RANK($K772,$K$2:$K$1001),"")</f>
        <v/>
      </c>
    </row>
    <row r="773" customFormat="false" ht="15" hidden="false" customHeight="false" outlineLevel="0" collapsed="false">
      <c r="J773" s="10" t="n">
        <f aca="false">IF($D773="",0,IF(AND(OR(Test!$B$4="Hepsi",$B773=Test!$B$4),OR(Test!$B$5="Hepsi",$C773=Test!$B$5)),1,0))</f>
        <v>0</v>
      </c>
      <c r="K773" s="10" t="n">
        <f aca="true">IF($J773=1,RAND(),-1)</f>
        <v>-1</v>
      </c>
      <c r="L773" s="10" t="str">
        <f aca="false">IF($J773=1,RANK($K773,$K$2:$K$1001),"")</f>
        <v/>
      </c>
    </row>
    <row r="774" customFormat="false" ht="15" hidden="false" customHeight="false" outlineLevel="0" collapsed="false">
      <c r="J774" s="10" t="n">
        <f aca="false">IF($D774="",0,IF(AND(OR(Test!$B$4="Hepsi",$B774=Test!$B$4),OR(Test!$B$5="Hepsi",$C774=Test!$B$5)),1,0))</f>
        <v>0</v>
      </c>
      <c r="K774" s="10" t="n">
        <f aca="true">IF($J774=1,RAND(),-1)</f>
        <v>-1</v>
      </c>
      <c r="L774" s="10" t="str">
        <f aca="false">IF($J774=1,RANK($K774,$K$2:$K$1001),"")</f>
        <v/>
      </c>
    </row>
    <row r="775" customFormat="false" ht="15" hidden="false" customHeight="false" outlineLevel="0" collapsed="false">
      <c r="J775" s="10" t="n">
        <f aca="false">IF($D775="",0,IF(AND(OR(Test!$B$4="Hepsi",$B775=Test!$B$4),OR(Test!$B$5="Hepsi",$C775=Test!$B$5)),1,0))</f>
        <v>0</v>
      </c>
      <c r="K775" s="10" t="n">
        <f aca="true">IF($J775=1,RAND(),-1)</f>
        <v>-1</v>
      </c>
      <c r="L775" s="10" t="str">
        <f aca="false">IF($J775=1,RANK($K775,$K$2:$K$1001),"")</f>
        <v/>
      </c>
    </row>
    <row r="776" customFormat="false" ht="15" hidden="false" customHeight="false" outlineLevel="0" collapsed="false">
      <c r="J776" s="10" t="n">
        <f aca="false">IF($D776="",0,IF(AND(OR(Test!$B$4="Hepsi",$B776=Test!$B$4),OR(Test!$B$5="Hepsi",$C776=Test!$B$5)),1,0))</f>
        <v>0</v>
      </c>
      <c r="K776" s="10" t="n">
        <f aca="true">IF($J776=1,RAND(),-1)</f>
        <v>-1</v>
      </c>
      <c r="L776" s="10" t="str">
        <f aca="false">IF($J776=1,RANK($K776,$K$2:$K$1001),"")</f>
        <v/>
      </c>
    </row>
    <row r="777" customFormat="false" ht="15" hidden="false" customHeight="false" outlineLevel="0" collapsed="false">
      <c r="J777" s="10" t="n">
        <f aca="false">IF($D777="",0,IF(AND(OR(Test!$B$4="Hepsi",$B777=Test!$B$4),OR(Test!$B$5="Hepsi",$C777=Test!$B$5)),1,0))</f>
        <v>0</v>
      </c>
      <c r="K777" s="10" t="n">
        <f aca="true">IF($J777=1,RAND(),-1)</f>
        <v>-1</v>
      </c>
      <c r="L777" s="10" t="str">
        <f aca="false">IF($J777=1,RANK($K777,$K$2:$K$1001),"")</f>
        <v/>
      </c>
    </row>
    <row r="778" customFormat="false" ht="15" hidden="false" customHeight="false" outlineLevel="0" collapsed="false">
      <c r="J778" s="10" t="n">
        <f aca="false">IF($D778="",0,IF(AND(OR(Test!$B$4="Hepsi",$B778=Test!$B$4),OR(Test!$B$5="Hepsi",$C778=Test!$B$5)),1,0))</f>
        <v>0</v>
      </c>
      <c r="K778" s="10" t="n">
        <f aca="true">IF($J778=1,RAND(),-1)</f>
        <v>-1</v>
      </c>
      <c r="L778" s="10" t="str">
        <f aca="false">IF($J778=1,RANK($K778,$K$2:$K$1001),"")</f>
        <v/>
      </c>
    </row>
    <row r="779" customFormat="false" ht="15" hidden="false" customHeight="false" outlineLevel="0" collapsed="false">
      <c r="J779" s="10" t="n">
        <f aca="false">IF($D779="",0,IF(AND(OR(Test!$B$4="Hepsi",$B779=Test!$B$4),OR(Test!$B$5="Hepsi",$C779=Test!$B$5)),1,0))</f>
        <v>0</v>
      </c>
      <c r="K779" s="10" t="n">
        <f aca="true">IF($J779=1,RAND(),-1)</f>
        <v>-1</v>
      </c>
      <c r="L779" s="10" t="str">
        <f aca="false">IF($J779=1,RANK($K779,$K$2:$K$1001),"")</f>
        <v/>
      </c>
    </row>
    <row r="780" customFormat="false" ht="15" hidden="false" customHeight="false" outlineLevel="0" collapsed="false">
      <c r="J780" s="10" t="n">
        <f aca="false">IF($D780="",0,IF(AND(OR(Test!$B$4="Hepsi",$B780=Test!$B$4),OR(Test!$B$5="Hepsi",$C780=Test!$B$5)),1,0))</f>
        <v>0</v>
      </c>
      <c r="K780" s="10" t="n">
        <f aca="true">IF($J780=1,RAND(),-1)</f>
        <v>-1</v>
      </c>
      <c r="L780" s="10" t="str">
        <f aca="false">IF($J780=1,RANK($K780,$K$2:$K$1001),"")</f>
        <v/>
      </c>
    </row>
    <row r="781" customFormat="false" ht="15" hidden="false" customHeight="false" outlineLevel="0" collapsed="false">
      <c r="J781" s="10" t="n">
        <f aca="false">IF($D781="",0,IF(AND(OR(Test!$B$4="Hepsi",$B781=Test!$B$4),OR(Test!$B$5="Hepsi",$C781=Test!$B$5)),1,0))</f>
        <v>0</v>
      </c>
      <c r="K781" s="10" t="n">
        <f aca="true">IF($J781=1,RAND(),-1)</f>
        <v>-1</v>
      </c>
      <c r="L781" s="10" t="str">
        <f aca="false">IF($J781=1,RANK($K781,$K$2:$K$1001),"")</f>
        <v/>
      </c>
    </row>
    <row r="782" customFormat="false" ht="15" hidden="false" customHeight="false" outlineLevel="0" collapsed="false">
      <c r="J782" s="10" t="n">
        <f aca="false">IF($D782="",0,IF(AND(OR(Test!$B$4="Hepsi",$B782=Test!$B$4),OR(Test!$B$5="Hepsi",$C782=Test!$B$5)),1,0))</f>
        <v>0</v>
      </c>
      <c r="K782" s="10" t="n">
        <f aca="true">IF($J782=1,RAND(),-1)</f>
        <v>-1</v>
      </c>
      <c r="L782" s="10" t="str">
        <f aca="false">IF($J782=1,RANK($K782,$K$2:$K$1001),"")</f>
        <v/>
      </c>
    </row>
    <row r="783" customFormat="false" ht="15" hidden="false" customHeight="false" outlineLevel="0" collapsed="false">
      <c r="J783" s="10" t="n">
        <f aca="false">IF($D783="",0,IF(AND(OR(Test!$B$4="Hepsi",$B783=Test!$B$4),OR(Test!$B$5="Hepsi",$C783=Test!$B$5)),1,0))</f>
        <v>0</v>
      </c>
      <c r="K783" s="10" t="n">
        <f aca="true">IF($J783=1,RAND(),-1)</f>
        <v>-1</v>
      </c>
      <c r="L783" s="10" t="str">
        <f aca="false">IF($J783=1,RANK($K783,$K$2:$K$1001),"")</f>
        <v/>
      </c>
    </row>
    <row r="784" customFormat="false" ht="15" hidden="false" customHeight="false" outlineLevel="0" collapsed="false">
      <c r="J784" s="10" t="n">
        <f aca="false">IF($D784="",0,IF(AND(OR(Test!$B$4="Hepsi",$B784=Test!$B$4),OR(Test!$B$5="Hepsi",$C784=Test!$B$5)),1,0))</f>
        <v>0</v>
      </c>
      <c r="K784" s="10" t="n">
        <f aca="true">IF($J784=1,RAND(),-1)</f>
        <v>-1</v>
      </c>
      <c r="L784" s="10" t="str">
        <f aca="false">IF($J784=1,RANK($K784,$K$2:$K$1001),"")</f>
        <v/>
      </c>
    </row>
    <row r="785" customFormat="false" ht="15" hidden="false" customHeight="false" outlineLevel="0" collapsed="false">
      <c r="J785" s="10" t="n">
        <f aca="false">IF($D785="",0,IF(AND(OR(Test!$B$4="Hepsi",$B785=Test!$B$4),OR(Test!$B$5="Hepsi",$C785=Test!$B$5)),1,0))</f>
        <v>0</v>
      </c>
      <c r="K785" s="10" t="n">
        <f aca="true">IF($J785=1,RAND(),-1)</f>
        <v>-1</v>
      </c>
      <c r="L785" s="10" t="str">
        <f aca="false">IF($J785=1,RANK($K785,$K$2:$K$1001),"")</f>
        <v/>
      </c>
    </row>
    <row r="786" customFormat="false" ht="15" hidden="false" customHeight="false" outlineLevel="0" collapsed="false">
      <c r="J786" s="10" t="n">
        <f aca="false">IF($D786="",0,IF(AND(OR(Test!$B$4="Hepsi",$B786=Test!$B$4),OR(Test!$B$5="Hepsi",$C786=Test!$B$5)),1,0))</f>
        <v>0</v>
      </c>
      <c r="K786" s="10" t="n">
        <f aca="true">IF($J786=1,RAND(),-1)</f>
        <v>-1</v>
      </c>
      <c r="L786" s="10" t="str">
        <f aca="false">IF($J786=1,RANK($K786,$K$2:$K$1001),"")</f>
        <v/>
      </c>
    </row>
    <row r="787" customFormat="false" ht="15" hidden="false" customHeight="false" outlineLevel="0" collapsed="false">
      <c r="J787" s="10" t="n">
        <f aca="false">IF($D787="",0,IF(AND(OR(Test!$B$4="Hepsi",$B787=Test!$B$4),OR(Test!$B$5="Hepsi",$C787=Test!$B$5)),1,0))</f>
        <v>0</v>
      </c>
      <c r="K787" s="10" t="n">
        <f aca="true">IF($J787=1,RAND(),-1)</f>
        <v>-1</v>
      </c>
      <c r="L787" s="10" t="str">
        <f aca="false">IF($J787=1,RANK($K787,$K$2:$K$1001),"")</f>
        <v/>
      </c>
    </row>
    <row r="788" customFormat="false" ht="15" hidden="false" customHeight="false" outlineLevel="0" collapsed="false">
      <c r="J788" s="10" t="n">
        <f aca="false">IF($D788="",0,IF(AND(OR(Test!$B$4="Hepsi",$B788=Test!$B$4),OR(Test!$B$5="Hepsi",$C788=Test!$B$5)),1,0))</f>
        <v>0</v>
      </c>
      <c r="K788" s="10" t="n">
        <f aca="true">IF($J788=1,RAND(),-1)</f>
        <v>-1</v>
      </c>
      <c r="L788" s="10" t="str">
        <f aca="false">IF($J788=1,RANK($K788,$K$2:$K$1001),"")</f>
        <v/>
      </c>
    </row>
    <row r="789" customFormat="false" ht="15" hidden="false" customHeight="false" outlineLevel="0" collapsed="false">
      <c r="J789" s="10" t="n">
        <f aca="false">IF($D789="",0,IF(AND(OR(Test!$B$4="Hepsi",$B789=Test!$B$4),OR(Test!$B$5="Hepsi",$C789=Test!$B$5)),1,0))</f>
        <v>0</v>
      </c>
      <c r="K789" s="10" t="n">
        <f aca="true">IF($J789=1,RAND(),-1)</f>
        <v>-1</v>
      </c>
      <c r="L789" s="10" t="str">
        <f aca="false">IF($J789=1,RANK($K789,$K$2:$K$1001),"")</f>
        <v/>
      </c>
    </row>
    <row r="790" customFormat="false" ht="15" hidden="false" customHeight="false" outlineLevel="0" collapsed="false">
      <c r="J790" s="10" t="n">
        <f aca="false">IF($D790="",0,IF(AND(OR(Test!$B$4="Hepsi",$B790=Test!$B$4),OR(Test!$B$5="Hepsi",$C790=Test!$B$5)),1,0))</f>
        <v>0</v>
      </c>
      <c r="K790" s="10" t="n">
        <f aca="true">IF($J790=1,RAND(),-1)</f>
        <v>-1</v>
      </c>
      <c r="L790" s="10" t="str">
        <f aca="false">IF($J790=1,RANK($K790,$K$2:$K$1001),"")</f>
        <v/>
      </c>
    </row>
    <row r="791" customFormat="false" ht="15" hidden="false" customHeight="false" outlineLevel="0" collapsed="false">
      <c r="J791" s="10" t="n">
        <f aca="false">IF($D791="",0,IF(AND(OR(Test!$B$4="Hepsi",$B791=Test!$B$4),OR(Test!$B$5="Hepsi",$C791=Test!$B$5)),1,0))</f>
        <v>0</v>
      </c>
      <c r="K791" s="10" t="n">
        <f aca="true">IF($J791=1,RAND(),-1)</f>
        <v>-1</v>
      </c>
      <c r="L791" s="10" t="str">
        <f aca="false">IF($J791=1,RANK($K791,$K$2:$K$1001),"")</f>
        <v/>
      </c>
    </row>
    <row r="792" customFormat="false" ht="15" hidden="false" customHeight="false" outlineLevel="0" collapsed="false">
      <c r="J792" s="10" t="n">
        <f aca="false">IF($D792="",0,IF(AND(OR(Test!$B$4="Hepsi",$B792=Test!$B$4),OR(Test!$B$5="Hepsi",$C792=Test!$B$5)),1,0))</f>
        <v>0</v>
      </c>
      <c r="K792" s="10" t="n">
        <f aca="true">IF($J792=1,RAND(),-1)</f>
        <v>-1</v>
      </c>
      <c r="L792" s="10" t="str">
        <f aca="false">IF($J792=1,RANK($K792,$K$2:$K$1001),"")</f>
        <v/>
      </c>
    </row>
    <row r="793" customFormat="false" ht="15" hidden="false" customHeight="false" outlineLevel="0" collapsed="false">
      <c r="J793" s="10" t="n">
        <f aca="false">IF($D793="",0,IF(AND(OR(Test!$B$4="Hepsi",$B793=Test!$B$4),OR(Test!$B$5="Hepsi",$C793=Test!$B$5)),1,0))</f>
        <v>0</v>
      </c>
      <c r="K793" s="10" t="n">
        <f aca="true">IF($J793=1,RAND(),-1)</f>
        <v>-1</v>
      </c>
      <c r="L793" s="10" t="str">
        <f aca="false">IF($J793=1,RANK($K793,$K$2:$K$1001),"")</f>
        <v/>
      </c>
    </row>
    <row r="794" customFormat="false" ht="15" hidden="false" customHeight="false" outlineLevel="0" collapsed="false">
      <c r="J794" s="10" t="n">
        <f aca="false">IF($D794="",0,IF(AND(OR(Test!$B$4="Hepsi",$B794=Test!$B$4),OR(Test!$B$5="Hepsi",$C794=Test!$B$5)),1,0))</f>
        <v>0</v>
      </c>
      <c r="K794" s="10" t="n">
        <f aca="true">IF($J794=1,RAND(),-1)</f>
        <v>-1</v>
      </c>
      <c r="L794" s="10" t="str">
        <f aca="false">IF($J794=1,RANK($K794,$K$2:$K$1001),"")</f>
        <v/>
      </c>
    </row>
    <row r="795" customFormat="false" ht="15" hidden="false" customHeight="false" outlineLevel="0" collapsed="false">
      <c r="J795" s="10" t="n">
        <f aca="false">IF($D795="",0,IF(AND(OR(Test!$B$4="Hepsi",$B795=Test!$B$4),OR(Test!$B$5="Hepsi",$C795=Test!$B$5)),1,0))</f>
        <v>0</v>
      </c>
      <c r="K795" s="10" t="n">
        <f aca="true">IF($J795=1,RAND(),-1)</f>
        <v>-1</v>
      </c>
      <c r="L795" s="10" t="str">
        <f aca="false">IF($J795=1,RANK($K795,$K$2:$K$1001),"")</f>
        <v/>
      </c>
    </row>
    <row r="796" customFormat="false" ht="15" hidden="false" customHeight="false" outlineLevel="0" collapsed="false">
      <c r="J796" s="10" t="n">
        <f aca="false">IF($D796="",0,IF(AND(OR(Test!$B$4="Hepsi",$B796=Test!$B$4),OR(Test!$B$5="Hepsi",$C796=Test!$B$5)),1,0))</f>
        <v>0</v>
      </c>
      <c r="K796" s="10" t="n">
        <f aca="true">IF($J796=1,RAND(),-1)</f>
        <v>-1</v>
      </c>
      <c r="L796" s="10" t="str">
        <f aca="false">IF($J796=1,RANK($K796,$K$2:$K$1001),"")</f>
        <v/>
      </c>
    </row>
    <row r="797" customFormat="false" ht="15" hidden="false" customHeight="false" outlineLevel="0" collapsed="false">
      <c r="J797" s="10" t="n">
        <f aca="false">IF($D797="",0,IF(AND(OR(Test!$B$4="Hepsi",$B797=Test!$B$4),OR(Test!$B$5="Hepsi",$C797=Test!$B$5)),1,0))</f>
        <v>0</v>
      </c>
      <c r="K797" s="10" t="n">
        <f aca="true">IF($J797=1,RAND(),-1)</f>
        <v>-1</v>
      </c>
      <c r="L797" s="10" t="str">
        <f aca="false">IF($J797=1,RANK($K797,$K$2:$K$1001),"")</f>
        <v/>
      </c>
    </row>
    <row r="798" customFormat="false" ht="15" hidden="false" customHeight="false" outlineLevel="0" collapsed="false">
      <c r="J798" s="10" t="n">
        <f aca="false">IF($D798="",0,IF(AND(OR(Test!$B$4="Hepsi",$B798=Test!$B$4),OR(Test!$B$5="Hepsi",$C798=Test!$B$5)),1,0))</f>
        <v>0</v>
      </c>
      <c r="K798" s="10" t="n">
        <f aca="true">IF($J798=1,RAND(),-1)</f>
        <v>-1</v>
      </c>
      <c r="L798" s="10" t="str">
        <f aca="false">IF($J798=1,RANK($K798,$K$2:$K$1001),"")</f>
        <v/>
      </c>
    </row>
    <row r="799" customFormat="false" ht="15" hidden="false" customHeight="false" outlineLevel="0" collapsed="false">
      <c r="J799" s="10" t="n">
        <f aca="false">IF($D799="",0,IF(AND(OR(Test!$B$4="Hepsi",$B799=Test!$B$4),OR(Test!$B$5="Hepsi",$C799=Test!$B$5)),1,0))</f>
        <v>0</v>
      </c>
      <c r="K799" s="10" t="n">
        <f aca="true">IF($J799=1,RAND(),-1)</f>
        <v>-1</v>
      </c>
      <c r="L799" s="10" t="str">
        <f aca="false">IF($J799=1,RANK($K799,$K$2:$K$1001),"")</f>
        <v/>
      </c>
    </row>
    <row r="800" customFormat="false" ht="15" hidden="false" customHeight="false" outlineLevel="0" collapsed="false">
      <c r="J800" s="10" t="n">
        <f aca="false">IF($D800="",0,IF(AND(OR(Test!$B$4="Hepsi",$B800=Test!$B$4),OR(Test!$B$5="Hepsi",$C800=Test!$B$5)),1,0))</f>
        <v>0</v>
      </c>
      <c r="K800" s="10" t="n">
        <f aca="true">IF($J800=1,RAND(),-1)</f>
        <v>-1</v>
      </c>
      <c r="L800" s="10" t="str">
        <f aca="false">IF($J800=1,RANK($K800,$K$2:$K$1001),"")</f>
        <v/>
      </c>
    </row>
    <row r="801" customFormat="false" ht="15" hidden="false" customHeight="false" outlineLevel="0" collapsed="false">
      <c r="J801" s="10" t="n">
        <f aca="false">IF($D801="",0,IF(AND(OR(Test!$B$4="Hepsi",$B801=Test!$B$4),OR(Test!$B$5="Hepsi",$C801=Test!$B$5)),1,0))</f>
        <v>0</v>
      </c>
      <c r="K801" s="10" t="n">
        <f aca="true">IF($J801=1,RAND(),-1)</f>
        <v>-1</v>
      </c>
      <c r="L801" s="10" t="str">
        <f aca="false">IF($J801=1,RANK($K801,$K$2:$K$1001),"")</f>
        <v/>
      </c>
    </row>
    <row r="802" customFormat="false" ht="15" hidden="false" customHeight="false" outlineLevel="0" collapsed="false">
      <c r="J802" s="10" t="n">
        <f aca="false">IF($D802="",0,IF(AND(OR(Test!$B$4="Hepsi",$B802=Test!$B$4),OR(Test!$B$5="Hepsi",$C802=Test!$B$5)),1,0))</f>
        <v>0</v>
      </c>
      <c r="K802" s="10" t="n">
        <f aca="true">IF($J802=1,RAND(),-1)</f>
        <v>-1</v>
      </c>
      <c r="L802" s="10" t="str">
        <f aca="false">IF($J802=1,RANK($K802,$K$2:$K$1001),"")</f>
        <v/>
      </c>
    </row>
    <row r="803" customFormat="false" ht="15" hidden="false" customHeight="false" outlineLevel="0" collapsed="false">
      <c r="J803" s="10" t="n">
        <f aca="false">IF($D803="",0,IF(AND(OR(Test!$B$4="Hepsi",$B803=Test!$B$4),OR(Test!$B$5="Hepsi",$C803=Test!$B$5)),1,0))</f>
        <v>0</v>
      </c>
      <c r="K803" s="10" t="n">
        <f aca="true">IF($J803=1,RAND(),-1)</f>
        <v>-1</v>
      </c>
      <c r="L803" s="10" t="str">
        <f aca="false">IF($J803=1,RANK($K803,$K$2:$K$1001),"")</f>
        <v/>
      </c>
    </row>
    <row r="804" customFormat="false" ht="15" hidden="false" customHeight="false" outlineLevel="0" collapsed="false">
      <c r="J804" s="10" t="n">
        <f aca="false">IF($D804="",0,IF(AND(OR(Test!$B$4="Hepsi",$B804=Test!$B$4),OR(Test!$B$5="Hepsi",$C804=Test!$B$5)),1,0))</f>
        <v>0</v>
      </c>
      <c r="K804" s="10" t="n">
        <f aca="true">IF($J804=1,RAND(),-1)</f>
        <v>-1</v>
      </c>
      <c r="L804" s="10" t="str">
        <f aca="false">IF($J804=1,RANK($K804,$K$2:$K$1001),"")</f>
        <v/>
      </c>
    </row>
    <row r="805" customFormat="false" ht="15" hidden="false" customHeight="false" outlineLevel="0" collapsed="false">
      <c r="J805" s="10" t="n">
        <f aca="false">IF($D805="",0,IF(AND(OR(Test!$B$4="Hepsi",$B805=Test!$B$4),OR(Test!$B$5="Hepsi",$C805=Test!$B$5)),1,0))</f>
        <v>0</v>
      </c>
      <c r="K805" s="10" t="n">
        <f aca="true">IF($J805=1,RAND(),-1)</f>
        <v>-1</v>
      </c>
      <c r="L805" s="10" t="str">
        <f aca="false">IF($J805=1,RANK($K805,$K$2:$K$1001),"")</f>
        <v/>
      </c>
    </row>
    <row r="806" customFormat="false" ht="15" hidden="false" customHeight="false" outlineLevel="0" collapsed="false">
      <c r="J806" s="10" t="n">
        <f aca="false">IF($D806="",0,IF(AND(OR(Test!$B$4="Hepsi",$B806=Test!$B$4),OR(Test!$B$5="Hepsi",$C806=Test!$B$5)),1,0))</f>
        <v>0</v>
      </c>
      <c r="K806" s="10" t="n">
        <f aca="true">IF($J806=1,RAND(),-1)</f>
        <v>-1</v>
      </c>
      <c r="L806" s="10" t="str">
        <f aca="false">IF($J806=1,RANK($K806,$K$2:$K$1001),"")</f>
        <v/>
      </c>
    </row>
    <row r="807" customFormat="false" ht="15" hidden="false" customHeight="false" outlineLevel="0" collapsed="false">
      <c r="J807" s="10" t="n">
        <f aca="false">IF($D807="",0,IF(AND(OR(Test!$B$4="Hepsi",$B807=Test!$B$4),OR(Test!$B$5="Hepsi",$C807=Test!$B$5)),1,0))</f>
        <v>0</v>
      </c>
      <c r="K807" s="10" t="n">
        <f aca="true">IF($J807=1,RAND(),-1)</f>
        <v>-1</v>
      </c>
      <c r="L807" s="10" t="str">
        <f aca="false">IF($J807=1,RANK($K807,$K$2:$K$1001),"")</f>
        <v/>
      </c>
    </row>
    <row r="808" customFormat="false" ht="15" hidden="false" customHeight="false" outlineLevel="0" collapsed="false">
      <c r="J808" s="10" t="n">
        <f aca="false">IF($D808="",0,IF(AND(OR(Test!$B$4="Hepsi",$B808=Test!$B$4),OR(Test!$B$5="Hepsi",$C808=Test!$B$5)),1,0))</f>
        <v>0</v>
      </c>
      <c r="K808" s="10" t="n">
        <f aca="true">IF($J808=1,RAND(),-1)</f>
        <v>-1</v>
      </c>
      <c r="L808" s="10" t="str">
        <f aca="false">IF($J808=1,RANK($K808,$K$2:$K$1001),"")</f>
        <v/>
      </c>
    </row>
    <row r="809" customFormat="false" ht="15" hidden="false" customHeight="false" outlineLevel="0" collapsed="false">
      <c r="J809" s="10" t="n">
        <f aca="false">IF($D809="",0,IF(AND(OR(Test!$B$4="Hepsi",$B809=Test!$B$4),OR(Test!$B$5="Hepsi",$C809=Test!$B$5)),1,0))</f>
        <v>0</v>
      </c>
      <c r="K809" s="10" t="n">
        <f aca="true">IF($J809=1,RAND(),-1)</f>
        <v>-1</v>
      </c>
      <c r="L809" s="10" t="str">
        <f aca="false">IF($J809=1,RANK($K809,$K$2:$K$1001),"")</f>
        <v/>
      </c>
    </row>
    <row r="810" customFormat="false" ht="15" hidden="false" customHeight="false" outlineLevel="0" collapsed="false">
      <c r="J810" s="10" t="n">
        <f aca="false">IF($D810="",0,IF(AND(OR(Test!$B$4="Hepsi",$B810=Test!$B$4),OR(Test!$B$5="Hepsi",$C810=Test!$B$5)),1,0))</f>
        <v>0</v>
      </c>
      <c r="K810" s="10" t="n">
        <f aca="true">IF($J810=1,RAND(),-1)</f>
        <v>-1</v>
      </c>
      <c r="L810" s="10" t="str">
        <f aca="false">IF($J810=1,RANK($K810,$K$2:$K$1001),"")</f>
        <v/>
      </c>
    </row>
    <row r="811" customFormat="false" ht="15" hidden="false" customHeight="false" outlineLevel="0" collapsed="false">
      <c r="J811" s="10" t="n">
        <f aca="false">IF($D811="",0,IF(AND(OR(Test!$B$4="Hepsi",$B811=Test!$B$4),OR(Test!$B$5="Hepsi",$C811=Test!$B$5)),1,0))</f>
        <v>0</v>
      </c>
      <c r="K811" s="10" t="n">
        <f aca="true">IF($J811=1,RAND(),-1)</f>
        <v>-1</v>
      </c>
      <c r="L811" s="10" t="str">
        <f aca="false">IF($J811=1,RANK($K811,$K$2:$K$1001),"")</f>
        <v/>
      </c>
    </row>
    <row r="812" customFormat="false" ht="15" hidden="false" customHeight="false" outlineLevel="0" collapsed="false">
      <c r="J812" s="10" t="n">
        <f aca="false">IF($D812="",0,IF(AND(OR(Test!$B$4="Hepsi",$B812=Test!$B$4),OR(Test!$B$5="Hepsi",$C812=Test!$B$5)),1,0))</f>
        <v>0</v>
      </c>
      <c r="K812" s="10" t="n">
        <f aca="true">IF($J812=1,RAND(),-1)</f>
        <v>-1</v>
      </c>
      <c r="L812" s="10" t="str">
        <f aca="false">IF($J812=1,RANK($K812,$K$2:$K$1001),"")</f>
        <v/>
      </c>
    </row>
    <row r="813" customFormat="false" ht="15" hidden="false" customHeight="false" outlineLevel="0" collapsed="false">
      <c r="J813" s="10" t="n">
        <f aca="false">IF($D813="",0,IF(AND(OR(Test!$B$4="Hepsi",$B813=Test!$B$4),OR(Test!$B$5="Hepsi",$C813=Test!$B$5)),1,0))</f>
        <v>0</v>
      </c>
      <c r="K813" s="10" t="n">
        <f aca="true">IF($J813=1,RAND(),-1)</f>
        <v>-1</v>
      </c>
      <c r="L813" s="10" t="str">
        <f aca="false">IF($J813=1,RANK($K813,$K$2:$K$1001),"")</f>
        <v/>
      </c>
    </row>
    <row r="814" customFormat="false" ht="15" hidden="false" customHeight="false" outlineLevel="0" collapsed="false">
      <c r="J814" s="10" t="n">
        <f aca="false">IF($D814="",0,IF(AND(OR(Test!$B$4="Hepsi",$B814=Test!$B$4),OR(Test!$B$5="Hepsi",$C814=Test!$B$5)),1,0))</f>
        <v>0</v>
      </c>
      <c r="K814" s="10" t="n">
        <f aca="true">IF($J814=1,RAND(),-1)</f>
        <v>-1</v>
      </c>
      <c r="L814" s="10" t="str">
        <f aca="false">IF($J814=1,RANK($K814,$K$2:$K$1001),"")</f>
        <v/>
      </c>
    </row>
    <row r="815" customFormat="false" ht="15" hidden="false" customHeight="false" outlineLevel="0" collapsed="false">
      <c r="J815" s="10" t="n">
        <f aca="false">IF($D815="",0,IF(AND(OR(Test!$B$4="Hepsi",$B815=Test!$B$4),OR(Test!$B$5="Hepsi",$C815=Test!$B$5)),1,0))</f>
        <v>0</v>
      </c>
      <c r="K815" s="10" t="n">
        <f aca="true">IF($J815=1,RAND(),-1)</f>
        <v>-1</v>
      </c>
      <c r="L815" s="10" t="str">
        <f aca="false">IF($J815=1,RANK($K815,$K$2:$K$1001),"")</f>
        <v/>
      </c>
    </row>
    <row r="816" customFormat="false" ht="15" hidden="false" customHeight="false" outlineLevel="0" collapsed="false">
      <c r="J816" s="10" t="n">
        <f aca="false">IF($D816="",0,IF(AND(OR(Test!$B$4="Hepsi",$B816=Test!$B$4),OR(Test!$B$5="Hepsi",$C816=Test!$B$5)),1,0))</f>
        <v>0</v>
      </c>
      <c r="K816" s="10" t="n">
        <f aca="true">IF($J816=1,RAND(),-1)</f>
        <v>-1</v>
      </c>
      <c r="L816" s="10" t="str">
        <f aca="false">IF($J816=1,RANK($K816,$K$2:$K$1001),"")</f>
        <v/>
      </c>
    </row>
    <row r="817" customFormat="false" ht="15" hidden="false" customHeight="false" outlineLevel="0" collapsed="false">
      <c r="J817" s="10" t="n">
        <f aca="false">IF($D817="",0,IF(AND(OR(Test!$B$4="Hepsi",$B817=Test!$B$4),OR(Test!$B$5="Hepsi",$C817=Test!$B$5)),1,0))</f>
        <v>0</v>
      </c>
      <c r="K817" s="10" t="n">
        <f aca="true">IF($J817=1,RAND(),-1)</f>
        <v>-1</v>
      </c>
      <c r="L817" s="10" t="str">
        <f aca="false">IF($J817=1,RANK($K817,$K$2:$K$1001),"")</f>
        <v/>
      </c>
    </row>
    <row r="818" customFormat="false" ht="15" hidden="false" customHeight="false" outlineLevel="0" collapsed="false">
      <c r="J818" s="10" t="n">
        <f aca="false">IF($D818="",0,IF(AND(OR(Test!$B$4="Hepsi",$B818=Test!$B$4),OR(Test!$B$5="Hepsi",$C818=Test!$B$5)),1,0))</f>
        <v>0</v>
      </c>
      <c r="K818" s="10" t="n">
        <f aca="true">IF($J818=1,RAND(),-1)</f>
        <v>-1</v>
      </c>
      <c r="L818" s="10" t="str">
        <f aca="false">IF($J818=1,RANK($K818,$K$2:$K$1001),"")</f>
        <v/>
      </c>
    </row>
    <row r="819" customFormat="false" ht="15" hidden="false" customHeight="false" outlineLevel="0" collapsed="false">
      <c r="J819" s="10" t="n">
        <f aca="false">IF($D819="",0,IF(AND(OR(Test!$B$4="Hepsi",$B819=Test!$B$4),OR(Test!$B$5="Hepsi",$C819=Test!$B$5)),1,0))</f>
        <v>0</v>
      </c>
      <c r="K819" s="10" t="n">
        <f aca="true">IF($J819=1,RAND(),-1)</f>
        <v>-1</v>
      </c>
      <c r="L819" s="10" t="str">
        <f aca="false">IF($J819=1,RANK($K819,$K$2:$K$1001),"")</f>
        <v/>
      </c>
    </row>
    <row r="820" customFormat="false" ht="15" hidden="false" customHeight="false" outlineLevel="0" collapsed="false">
      <c r="J820" s="10" t="n">
        <f aca="false">IF($D820="",0,IF(AND(OR(Test!$B$4="Hepsi",$B820=Test!$B$4),OR(Test!$B$5="Hepsi",$C820=Test!$B$5)),1,0))</f>
        <v>0</v>
      </c>
      <c r="K820" s="10" t="n">
        <f aca="true">IF($J820=1,RAND(),-1)</f>
        <v>-1</v>
      </c>
      <c r="L820" s="10" t="str">
        <f aca="false">IF($J820=1,RANK($K820,$K$2:$K$1001),"")</f>
        <v/>
      </c>
    </row>
    <row r="821" customFormat="false" ht="15" hidden="false" customHeight="false" outlineLevel="0" collapsed="false">
      <c r="J821" s="10" t="n">
        <f aca="false">IF($D821="",0,IF(AND(OR(Test!$B$4="Hepsi",$B821=Test!$B$4),OR(Test!$B$5="Hepsi",$C821=Test!$B$5)),1,0))</f>
        <v>0</v>
      </c>
      <c r="K821" s="10" t="n">
        <f aca="true">IF($J821=1,RAND(),-1)</f>
        <v>-1</v>
      </c>
      <c r="L821" s="10" t="str">
        <f aca="false">IF($J821=1,RANK($K821,$K$2:$K$1001),"")</f>
        <v/>
      </c>
    </row>
    <row r="822" customFormat="false" ht="15" hidden="false" customHeight="false" outlineLevel="0" collapsed="false">
      <c r="J822" s="10" t="n">
        <f aca="false">IF($D822="",0,IF(AND(OR(Test!$B$4="Hepsi",$B822=Test!$B$4),OR(Test!$B$5="Hepsi",$C822=Test!$B$5)),1,0))</f>
        <v>0</v>
      </c>
      <c r="K822" s="10" t="n">
        <f aca="true">IF($J822=1,RAND(),-1)</f>
        <v>-1</v>
      </c>
      <c r="L822" s="10" t="str">
        <f aca="false">IF($J822=1,RANK($K822,$K$2:$K$1001),"")</f>
        <v/>
      </c>
    </row>
    <row r="823" customFormat="false" ht="15" hidden="false" customHeight="false" outlineLevel="0" collapsed="false">
      <c r="J823" s="10" t="n">
        <f aca="false">IF($D823="",0,IF(AND(OR(Test!$B$4="Hepsi",$B823=Test!$B$4),OR(Test!$B$5="Hepsi",$C823=Test!$B$5)),1,0))</f>
        <v>0</v>
      </c>
      <c r="K823" s="10" t="n">
        <f aca="true">IF($J823=1,RAND(),-1)</f>
        <v>-1</v>
      </c>
      <c r="L823" s="10" t="str">
        <f aca="false">IF($J823=1,RANK($K823,$K$2:$K$1001),"")</f>
        <v/>
      </c>
    </row>
    <row r="824" customFormat="false" ht="15" hidden="false" customHeight="false" outlineLevel="0" collapsed="false">
      <c r="J824" s="10" t="n">
        <f aca="false">IF($D824="",0,IF(AND(OR(Test!$B$4="Hepsi",$B824=Test!$B$4),OR(Test!$B$5="Hepsi",$C824=Test!$B$5)),1,0))</f>
        <v>0</v>
      </c>
      <c r="K824" s="10" t="n">
        <f aca="true">IF($J824=1,RAND(),-1)</f>
        <v>-1</v>
      </c>
      <c r="L824" s="10" t="str">
        <f aca="false">IF($J824=1,RANK($K824,$K$2:$K$1001),"")</f>
        <v/>
      </c>
    </row>
    <row r="825" customFormat="false" ht="15" hidden="false" customHeight="false" outlineLevel="0" collapsed="false">
      <c r="J825" s="10" t="n">
        <f aca="false">IF($D825="",0,IF(AND(OR(Test!$B$4="Hepsi",$B825=Test!$B$4),OR(Test!$B$5="Hepsi",$C825=Test!$B$5)),1,0))</f>
        <v>0</v>
      </c>
      <c r="K825" s="10" t="n">
        <f aca="true">IF($J825=1,RAND(),-1)</f>
        <v>-1</v>
      </c>
      <c r="L825" s="10" t="str">
        <f aca="false">IF($J825=1,RANK($K825,$K$2:$K$1001),"")</f>
        <v/>
      </c>
    </row>
    <row r="826" customFormat="false" ht="15" hidden="false" customHeight="false" outlineLevel="0" collapsed="false">
      <c r="J826" s="10" t="n">
        <f aca="false">IF($D826="",0,IF(AND(OR(Test!$B$4="Hepsi",$B826=Test!$B$4),OR(Test!$B$5="Hepsi",$C826=Test!$B$5)),1,0))</f>
        <v>0</v>
      </c>
      <c r="K826" s="10" t="n">
        <f aca="true">IF($J826=1,RAND(),-1)</f>
        <v>-1</v>
      </c>
      <c r="L826" s="10" t="str">
        <f aca="false">IF($J826=1,RANK($K826,$K$2:$K$1001),"")</f>
        <v/>
      </c>
    </row>
    <row r="827" customFormat="false" ht="15" hidden="false" customHeight="false" outlineLevel="0" collapsed="false">
      <c r="J827" s="10" t="n">
        <f aca="false">IF($D827="",0,IF(AND(OR(Test!$B$4="Hepsi",$B827=Test!$B$4),OR(Test!$B$5="Hepsi",$C827=Test!$B$5)),1,0))</f>
        <v>0</v>
      </c>
      <c r="K827" s="10" t="n">
        <f aca="true">IF($J827=1,RAND(),-1)</f>
        <v>-1</v>
      </c>
      <c r="L827" s="10" t="str">
        <f aca="false">IF($J827=1,RANK($K827,$K$2:$K$1001),"")</f>
        <v/>
      </c>
    </row>
    <row r="828" customFormat="false" ht="15" hidden="false" customHeight="false" outlineLevel="0" collapsed="false">
      <c r="J828" s="10" t="n">
        <f aca="false">IF($D828="",0,IF(AND(OR(Test!$B$4="Hepsi",$B828=Test!$B$4),OR(Test!$B$5="Hepsi",$C828=Test!$B$5)),1,0))</f>
        <v>0</v>
      </c>
      <c r="K828" s="10" t="n">
        <f aca="true">IF($J828=1,RAND(),-1)</f>
        <v>-1</v>
      </c>
      <c r="L828" s="10" t="str">
        <f aca="false">IF($J828=1,RANK($K828,$K$2:$K$1001),"")</f>
        <v/>
      </c>
    </row>
    <row r="829" customFormat="false" ht="15" hidden="false" customHeight="false" outlineLevel="0" collapsed="false">
      <c r="J829" s="10" t="n">
        <f aca="false">IF($D829="",0,IF(AND(OR(Test!$B$4="Hepsi",$B829=Test!$B$4),OR(Test!$B$5="Hepsi",$C829=Test!$B$5)),1,0))</f>
        <v>0</v>
      </c>
      <c r="K829" s="10" t="n">
        <f aca="true">IF($J829=1,RAND(),-1)</f>
        <v>-1</v>
      </c>
      <c r="L829" s="10" t="str">
        <f aca="false">IF($J829=1,RANK($K829,$K$2:$K$1001),"")</f>
        <v/>
      </c>
    </row>
    <row r="830" customFormat="false" ht="15" hidden="false" customHeight="false" outlineLevel="0" collapsed="false">
      <c r="J830" s="10" t="n">
        <f aca="false">IF($D830="",0,IF(AND(OR(Test!$B$4="Hepsi",$B830=Test!$B$4),OR(Test!$B$5="Hepsi",$C830=Test!$B$5)),1,0))</f>
        <v>0</v>
      </c>
      <c r="K830" s="10" t="n">
        <f aca="true">IF($J830=1,RAND(),-1)</f>
        <v>-1</v>
      </c>
      <c r="L830" s="10" t="str">
        <f aca="false">IF($J830=1,RANK($K830,$K$2:$K$1001),"")</f>
        <v/>
      </c>
    </row>
    <row r="831" customFormat="false" ht="15" hidden="false" customHeight="false" outlineLevel="0" collapsed="false">
      <c r="J831" s="10" t="n">
        <f aca="false">IF($D831="",0,IF(AND(OR(Test!$B$4="Hepsi",$B831=Test!$B$4),OR(Test!$B$5="Hepsi",$C831=Test!$B$5)),1,0))</f>
        <v>0</v>
      </c>
      <c r="K831" s="10" t="n">
        <f aca="true">IF($J831=1,RAND(),-1)</f>
        <v>-1</v>
      </c>
      <c r="L831" s="10" t="str">
        <f aca="false">IF($J831=1,RANK($K831,$K$2:$K$1001),"")</f>
        <v/>
      </c>
    </row>
    <row r="832" customFormat="false" ht="15" hidden="false" customHeight="false" outlineLevel="0" collapsed="false">
      <c r="J832" s="10" t="n">
        <f aca="false">IF($D832="",0,IF(AND(OR(Test!$B$4="Hepsi",$B832=Test!$B$4),OR(Test!$B$5="Hepsi",$C832=Test!$B$5)),1,0))</f>
        <v>0</v>
      </c>
      <c r="K832" s="10" t="n">
        <f aca="true">IF($J832=1,RAND(),-1)</f>
        <v>-1</v>
      </c>
      <c r="L832" s="10" t="str">
        <f aca="false">IF($J832=1,RANK($K832,$K$2:$K$1001),"")</f>
        <v/>
      </c>
    </row>
    <row r="833" customFormat="false" ht="15" hidden="false" customHeight="false" outlineLevel="0" collapsed="false">
      <c r="J833" s="10" t="n">
        <f aca="false">IF($D833="",0,IF(AND(OR(Test!$B$4="Hepsi",$B833=Test!$B$4),OR(Test!$B$5="Hepsi",$C833=Test!$B$5)),1,0))</f>
        <v>0</v>
      </c>
      <c r="K833" s="10" t="n">
        <f aca="true">IF($J833=1,RAND(),-1)</f>
        <v>-1</v>
      </c>
      <c r="L833" s="10" t="str">
        <f aca="false">IF($J833=1,RANK($K833,$K$2:$K$1001),"")</f>
        <v/>
      </c>
    </row>
    <row r="834" customFormat="false" ht="15" hidden="false" customHeight="false" outlineLevel="0" collapsed="false">
      <c r="J834" s="10" t="n">
        <f aca="false">IF($D834="",0,IF(AND(OR(Test!$B$4="Hepsi",$B834=Test!$B$4),OR(Test!$B$5="Hepsi",$C834=Test!$B$5)),1,0))</f>
        <v>0</v>
      </c>
      <c r="K834" s="10" t="n">
        <f aca="true">IF($J834=1,RAND(),-1)</f>
        <v>-1</v>
      </c>
      <c r="L834" s="10" t="str">
        <f aca="false">IF($J834=1,RANK($K834,$K$2:$K$1001),"")</f>
        <v/>
      </c>
    </row>
    <row r="835" customFormat="false" ht="15" hidden="false" customHeight="false" outlineLevel="0" collapsed="false">
      <c r="J835" s="10" t="n">
        <f aca="false">IF($D835="",0,IF(AND(OR(Test!$B$4="Hepsi",$B835=Test!$B$4),OR(Test!$B$5="Hepsi",$C835=Test!$B$5)),1,0))</f>
        <v>0</v>
      </c>
      <c r="K835" s="10" t="n">
        <f aca="true">IF($J835=1,RAND(),-1)</f>
        <v>-1</v>
      </c>
      <c r="L835" s="10" t="str">
        <f aca="false">IF($J835=1,RANK($K835,$K$2:$K$1001),"")</f>
        <v/>
      </c>
    </row>
    <row r="836" customFormat="false" ht="15" hidden="false" customHeight="false" outlineLevel="0" collapsed="false">
      <c r="J836" s="10" t="n">
        <f aca="false">IF($D836="",0,IF(AND(OR(Test!$B$4="Hepsi",$B836=Test!$B$4),OR(Test!$B$5="Hepsi",$C836=Test!$B$5)),1,0))</f>
        <v>0</v>
      </c>
      <c r="K836" s="10" t="n">
        <f aca="true">IF($J836=1,RAND(),-1)</f>
        <v>-1</v>
      </c>
      <c r="L836" s="10" t="str">
        <f aca="false">IF($J836=1,RANK($K836,$K$2:$K$1001),"")</f>
        <v/>
      </c>
    </row>
    <row r="837" customFormat="false" ht="15" hidden="false" customHeight="false" outlineLevel="0" collapsed="false">
      <c r="J837" s="10" t="n">
        <f aca="false">IF($D837="",0,IF(AND(OR(Test!$B$4="Hepsi",$B837=Test!$B$4),OR(Test!$B$5="Hepsi",$C837=Test!$B$5)),1,0))</f>
        <v>0</v>
      </c>
      <c r="K837" s="10" t="n">
        <f aca="true">IF($J837=1,RAND(),-1)</f>
        <v>-1</v>
      </c>
      <c r="L837" s="10" t="str">
        <f aca="false">IF($J837=1,RANK($K837,$K$2:$K$1001),"")</f>
        <v/>
      </c>
    </row>
    <row r="838" customFormat="false" ht="15" hidden="false" customHeight="false" outlineLevel="0" collapsed="false">
      <c r="J838" s="10" t="n">
        <f aca="false">IF($D838="",0,IF(AND(OR(Test!$B$4="Hepsi",$B838=Test!$B$4),OR(Test!$B$5="Hepsi",$C838=Test!$B$5)),1,0))</f>
        <v>0</v>
      </c>
      <c r="K838" s="10" t="n">
        <f aca="true">IF($J838=1,RAND(),-1)</f>
        <v>-1</v>
      </c>
      <c r="L838" s="10" t="str">
        <f aca="false">IF($J838=1,RANK($K838,$K$2:$K$1001),"")</f>
        <v/>
      </c>
    </row>
    <row r="839" customFormat="false" ht="15" hidden="false" customHeight="false" outlineLevel="0" collapsed="false">
      <c r="J839" s="10" t="n">
        <f aca="false">IF($D839="",0,IF(AND(OR(Test!$B$4="Hepsi",$B839=Test!$B$4),OR(Test!$B$5="Hepsi",$C839=Test!$B$5)),1,0))</f>
        <v>0</v>
      </c>
      <c r="K839" s="10" t="n">
        <f aca="true">IF($J839=1,RAND(),-1)</f>
        <v>-1</v>
      </c>
      <c r="L839" s="10" t="str">
        <f aca="false">IF($J839=1,RANK($K839,$K$2:$K$1001),"")</f>
        <v/>
      </c>
    </row>
    <row r="840" customFormat="false" ht="15" hidden="false" customHeight="false" outlineLevel="0" collapsed="false">
      <c r="J840" s="10" t="n">
        <f aca="false">IF($D840="",0,IF(AND(OR(Test!$B$4="Hepsi",$B840=Test!$B$4),OR(Test!$B$5="Hepsi",$C840=Test!$B$5)),1,0))</f>
        <v>0</v>
      </c>
      <c r="K840" s="10" t="n">
        <f aca="true">IF($J840=1,RAND(),-1)</f>
        <v>-1</v>
      </c>
      <c r="L840" s="10" t="str">
        <f aca="false">IF($J840=1,RANK($K840,$K$2:$K$1001),"")</f>
        <v/>
      </c>
    </row>
    <row r="841" customFormat="false" ht="15" hidden="false" customHeight="false" outlineLevel="0" collapsed="false">
      <c r="J841" s="10" t="n">
        <f aca="false">IF($D841="",0,IF(AND(OR(Test!$B$4="Hepsi",$B841=Test!$B$4),OR(Test!$B$5="Hepsi",$C841=Test!$B$5)),1,0))</f>
        <v>0</v>
      </c>
      <c r="K841" s="10" t="n">
        <f aca="true">IF($J841=1,RAND(),-1)</f>
        <v>-1</v>
      </c>
      <c r="L841" s="10" t="str">
        <f aca="false">IF($J841=1,RANK($K841,$K$2:$K$1001),"")</f>
        <v/>
      </c>
    </row>
    <row r="842" customFormat="false" ht="15" hidden="false" customHeight="false" outlineLevel="0" collapsed="false">
      <c r="J842" s="10" t="n">
        <f aca="false">IF($D842="",0,IF(AND(OR(Test!$B$4="Hepsi",$B842=Test!$B$4),OR(Test!$B$5="Hepsi",$C842=Test!$B$5)),1,0))</f>
        <v>0</v>
      </c>
      <c r="K842" s="10" t="n">
        <f aca="true">IF($J842=1,RAND(),-1)</f>
        <v>-1</v>
      </c>
      <c r="L842" s="10" t="str">
        <f aca="false">IF($J842=1,RANK($K842,$K$2:$K$1001),"")</f>
        <v/>
      </c>
    </row>
    <row r="843" customFormat="false" ht="15" hidden="false" customHeight="false" outlineLevel="0" collapsed="false">
      <c r="J843" s="10" t="n">
        <f aca="false">IF($D843="",0,IF(AND(OR(Test!$B$4="Hepsi",$B843=Test!$B$4),OR(Test!$B$5="Hepsi",$C843=Test!$B$5)),1,0))</f>
        <v>0</v>
      </c>
      <c r="K843" s="10" t="n">
        <f aca="true">IF($J843=1,RAND(),-1)</f>
        <v>-1</v>
      </c>
      <c r="L843" s="10" t="str">
        <f aca="false">IF($J843=1,RANK($K843,$K$2:$K$1001),"")</f>
        <v/>
      </c>
    </row>
    <row r="844" customFormat="false" ht="15" hidden="false" customHeight="false" outlineLevel="0" collapsed="false">
      <c r="J844" s="10" t="n">
        <f aca="false">IF($D844="",0,IF(AND(OR(Test!$B$4="Hepsi",$B844=Test!$B$4),OR(Test!$B$5="Hepsi",$C844=Test!$B$5)),1,0))</f>
        <v>0</v>
      </c>
      <c r="K844" s="10" t="n">
        <f aca="true">IF($J844=1,RAND(),-1)</f>
        <v>-1</v>
      </c>
      <c r="L844" s="10" t="str">
        <f aca="false">IF($J844=1,RANK($K844,$K$2:$K$1001),"")</f>
        <v/>
      </c>
    </row>
    <row r="845" customFormat="false" ht="15" hidden="false" customHeight="false" outlineLevel="0" collapsed="false">
      <c r="J845" s="10" t="n">
        <f aca="false">IF($D845="",0,IF(AND(OR(Test!$B$4="Hepsi",$B845=Test!$B$4),OR(Test!$B$5="Hepsi",$C845=Test!$B$5)),1,0))</f>
        <v>0</v>
      </c>
      <c r="K845" s="10" t="n">
        <f aca="true">IF($J845=1,RAND(),-1)</f>
        <v>-1</v>
      </c>
      <c r="L845" s="10" t="str">
        <f aca="false">IF($J845=1,RANK($K845,$K$2:$K$1001),"")</f>
        <v/>
      </c>
    </row>
    <row r="846" customFormat="false" ht="15" hidden="false" customHeight="false" outlineLevel="0" collapsed="false">
      <c r="J846" s="10" t="n">
        <f aca="false">IF($D846="",0,IF(AND(OR(Test!$B$4="Hepsi",$B846=Test!$B$4),OR(Test!$B$5="Hepsi",$C846=Test!$B$5)),1,0))</f>
        <v>0</v>
      </c>
      <c r="K846" s="10" t="n">
        <f aca="true">IF($J846=1,RAND(),-1)</f>
        <v>-1</v>
      </c>
      <c r="L846" s="10" t="str">
        <f aca="false">IF($J846=1,RANK($K846,$K$2:$K$1001),"")</f>
        <v/>
      </c>
    </row>
    <row r="847" customFormat="false" ht="15" hidden="false" customHeight="false" outlineLevel="0" collapsed="false">
      <c r="J847" s="10" t="n">
        <f aca="false">IF($D847="",0,IF(AND(OR(Test!$B$4="Hepsi",$B847=Test!$B$4),OR(Test!$B$5="Hepsi",$C847=Test!$B$5)),1,0))</f>
        <v>0</v>
      </c>
      <c r="K847" s="10" t="n">
        <f aca="true">IF($J847=1,RAND(),-1)</f>
        <v>-1</v>
      </c>
      <c r="L847" s="10" t="str">
        <f aca="false">IF($J847=1,RANK($K847,$K$2:$K$1001),"")</f>
        <v/>
      </c>
    </row>
    <row r="848" customFormat="false" ht="15" hidden="false" customHeight="false" outlineLevel="0" collapsed="false">
      <c r="J848" s="10" t="n">
        <f aca="false">IF($D848="",0,IF(AND(OR(Test!$B$4="Hepsi",$B848=Test!$B$4),OR(Test!$B$5="Hepsi",$C848=Test!$B$5)),1,0))</f>
        <v>0</v>
      </c>
      <c r="K848" s="10" t="n">
        <f aca="true">IF($J848=1,RAND(),-1)</f>
        <v>-1</v>
      </c>
      <c r="L848" s="10" t="str">
        <f aca="false">IF($J848=1,RANK($K848,$K$2:$K$1001),"")</f>
        <v/>
      </c>
    </row>
    <row r="849" customFormat="false" ht="15" hidden="false" customHeight="false" outlineLevel="0" collapsed="false">
      <c r="J849" s="10" t="n">
        <f aca="false">IF($D849="",0,IF(AND(OR(Test!$B$4="Hepsi",$B849=Test!$B$4),OR(Test!$B$5="Hepsi",$C849=Test!$B$5)),1,0))</f>
        <v>0</v>
      </c>
      <c r="K849" s="10" t="n">
        <f aca="true">IF($J849=1,RAND(),-1)</f>
        <v>-1</v>
      </c>
      <c r="L849" s="10" t="str">
        <f aca="false">IF($J849=1,RANK($K849,$K$2:$K$1001),"")</f>
        <v/>
      </c>
    </row>
    <row r="850" customFormat="false" ht="15" hidden="false" customHeight="false" outlineLevel="0" collapsed="false">
      <c r="J850" s="10" t="n">
        <f aca="false">IF($D850="",0,IF(AND(OR(Test!$B$4="Hepsi",$B850=Test!$B$4),OR(Test!$B$5="Hepsi",$C850=Test!$B$5)),1,0))</f>
        <v>0</v>
      </c>
      <c r="K850" s="10" t="n">
        <f aca="true">IF($J850=1,RAND(),-1)</f>
        <v>-1</v>
      </c>
      <c r="L850" s="10" t="str">
        <f aca="false">IF($J850=1,RANK($K850,$K$2:$K$1001),"")</f>
        <v/>
      </c>
    </row>
    <row r="851" customFormat="false" ht="15" hidden="false" customHeight="false" outlineLevel="0" collapsed="false">
      <c r="J851" s="10" t="n">
        <f aca="false">IF($D851="",0,IF(AND(OR(Test!$B$4="Hepsi",$B851=Test!$B$4),OR(Test!$B$5="Hepsi",$C851=Test!$B$5)),1,0))</f>
        <v>0</v>
      </c>
      <c r="K851" s="10" t="n">
        <f aca="true">IF($J851=1,RAND(),-1)</f>
        <v>-1</v>
      </c>
      <c r="L851" s="10" t="str">
        <f aca="false">IF($J851=1,RANK($K851,$K$2:$K$1001),"")</f>
        <v/>
      </c>
    </row>
    <row r="852" customFormat="false" ht="15" hidden="false" customHeight="false" outlineLevel="0" collapsed="false">
      <c r="J852" s="10" t="n">
        <f aca="false">IF($D852="",0,IF(AND(OR(Test!$B$4="Hepsi",$B852=Test!$B$4),OR(Test!$B$5="Hepsi",$C852=Test!$B$5)),1,0))</f>
        <v>0</v>
      </c>
      <c r="K852" s="10" t="n">
        <f aca="true">IF($J852=1,RAND(),-1)</f>
        <v>-1</v>
      </c>
      <c r="L852" s="10" t="str">
        <f aca="false">IF($J852=1,RANK($K852,$K$2:$K$1001),"")</f>
        <v/>
      </c>
    </row>
    <row r="853" customFormat="false" ht="15" hidden="false" customHeight="false" outlineLevel="0" collapsed="false">
      <c r="J853" s="10" t="n">
        <f aca="false">IF($D853="",0,IF(AND(OR(Test!$B$4="Hepsi",$B853=Test!$B$4),OR(Test!$B$5="Hepsi",$C853=Test!$B$5)),1,0))</f>
        <v>0</v>
      </c>
      <c r="K853" s="10" t="n">
        <f aca="true">IF($J853=1,RAND(),-1)</f>
        <v>-1</v>
      </c>
      <c r="L853" s="10" t="str">
        <f aca="false">IF($J853=1,RANK($K853,$K$2:$K$1001),"")</f>
        <v/>
      </c>
    </row>
    <row r="854" customFormat="false" ht="15" hidden="false" customHeight="false" outlineLevel="0" collapsed="false">
      <c r="J854" s="10" t="n">
        <f aca="false">IF($D854="",0,IF(AND(OR(Test!$B$4="Hepsi",$B854=Test!$B$4),OR(Test!$B$5="Hepsi",$C854=Test!$B$5)),1,0))</f>
        <v>0</v>
      </c>
      <c r="K854" s="10" t="n">
        <f aca="true">IF($J854=1,RAND(),-1)</f>
        <v>-1</v>
      </c>
      <c r="L854" s="10" t="str">
        <f aca="false">IF($J854=1,RANK($K854,$K$2:$K$1001),"")</f>
        <v/>
      </c>
    </row>
    <row r="855" customFormat="false" ht="15" hidden="false" customHeight="false" outlineLevel="0" collapsed="false">
      <c r="J855" s="10" t="n">
        <f aca="false">IF($D855="",0,IF(AND(OR(Test!$B$4="Hepsi",$B855=Test!$B$4),OR(Test!$B$5="Hepsi",$C855=Test!$B$5)),1,0))</f>
        <v>0</v>
      </c>
      <c r="K855" s="10" t="n">
        <f aca="true">IF($J855=1,RAND(),-1)</f>
        <v>-1</v>
      </c>
      <c r="L855" s="10" t="str">
        <f aca="false">IF($J855=1,RANK($K855,$K$2:$K$1001),"")</f>
        <v/>
      </c>
    </row>
    <row r="856" customFormat="false" ht="15" hidden="false" customHeight="false" outlineLevel="0" collapsed="false">
      <c r="J856" s="10" t="n">
        <f aca="false">IF($D856="",0,IF(AND(OR(Test!$B$4="Hepsi",$B856=Test!$B$4),OR(Test!$B$5="Hepsi",$C856=Test!$B$5)),1,0))</f>
        <v>0</v>
      </c>
      <c r="K856" s="10" t="n">
        <f aca="true">IF($J856=1,RAND(),-1)</f>
        <v>-1</v>
      </c>
      <c r="L856" s="10" t="str">
        <f aca="false">IF($J856=1,RANK($K856,$K$2:$K$1001),"")</f>
        <v/>
      </c>
    </row>
    <row r="857" customFormat="false" ht="15" hidden="false" customHeight="false" outlineLevel="0" collapsed="false">
      <c r="J857" s="10" t="n">
        <f aca="false">IF($D857="",0,IF(AND(OR(Test!$B$4="Hepsi",$B857=Test!$B$4),OR(Test!$B$5="Hepsi",$C857=Test!$B$5)),1,0))</f>
        <v>0</v>
      </c>
      <c r="K857" s="10" t="n">
        <f aca="true">IF($J857=1,RAND(),-1)</f>
        <v>-1</v>
      </c>
      <c r="L857" s="10" t="str">
        <f aca="false">IF($J857=1,RANK($K857,$K$2:$K$1001),"")</f>
        <v/>
      </c>
    </row>
    <row r="858" customFormat="false" ht="15" hidden="false" customHeight="false" outlineLevel="0" collapsed="false">
      <c r="J858" s="10" t="n">
        <f aca="false">IF($D858="",0,IF(AND(OR(Test!$B$4="Hepsi",$B858=Test!$B$4),OR(Test!$B$5="Hepsi",$C858=Test!$B$5)),1,0))</f>
        <v>0</v>
      </c>
      <c r="K858" s="10" t="n">
        <f aca="true">IF($J858=1,RAND(),-1)</f>
        <v>-1</v>
      </c>
      <c r="L858" s="10" t="str">
        <f aca="false">IF($J858=1,RANK($K858,$K$2:$K$1001),"")</f>
        <v/>
      </c>
    </row>
    <row r="859" customFormat="false" ht="15" hidden="false" customHeight="false" outlineLevel="0" collapsed="false">
      <c r="J859" s="10" t="n">
        <f aca="false">IF($D859="",0,IF(AND(OR(Test!$B$4="Hepsi",$B859=Test!$B$4),OR(Test!$B$5="Hepsi",$C859=Test!$B$5)),1,0))</f>
        <v>0</v>
      </c>
      <c r="K859" s="10" t="n">
        <f aca="true">IF($J859=1,RAND(),-1)</f>
        <v>-1</v>
      </c>
      <c r="L859" s="10" t="str">
        <f aca="false">IF($J859=1,RANK($K859,$K$2:$K$1001),"")</f>
        <v/>
      </c>
    </row>
    <row r="860" customFormat="false" ht="15" hidden="false" customHeight="false" outlineLevel="0" collapsed="false">
      <c r="J860" s="10" t="n">
        <f aca="false">IF($D860="",0,IF(AND(OR(Test!$B$4="Hepsi",$B860=Test!$B$4),OR(Test!$B$5="Hepsi",$C860=Test!$B$5)),1,0))</f>
        <v>0</v>
      </c>
      <c r="K860" s="10" t="n">
        <f aca="true">IF($J860=1,RAND(),-1)</f>
        <v>-1</v>
      </c>
      <c r="L860" s="10" t="str">
        <f aca="false">IF($J860=1,RANK($K860,$K$2:$K$1001),"")</f>
        <v/>
      </c>
    </row>
    <row r="861" customFormat="false" ht="15" hidden="false" customHeight="false" outlineLevel="0" collapsed="false">
      <c r="J861" s="10" t="n">
        <f aca="false">IF($D861="",0,IF(AND(OR(Test!$B$4="Hepsi",$B861=Test!$B$4),OR(Test!$B$5="Hepsi",$C861=Test!$B$5)),1,0))</f>
        <v>0</v>
      </c>
      <c r="K861" s="10" t="n">
        <f aca="true">IF($J861=1,RAND(),-1)</f>
        <v>-1</v>
      </c>
      <c r="L861" s="10" t="str">
        <f aca="false">IF($J861=1,RANK($K861,$K$2:$K$1001),"")</f>
        <v/>
      </c>
    </row>
    <row r="862" customFormat="false" ht="15" hidden="false" customHeight="false" outlineLevel="0" collapsed="false">
      <c r="J862" s="10" t="n">
        <f aca="false">IF($D862="",0,IF(AND(OR(Test!$B$4="Hepsi",$B862=Test!$B$4),OR(Test!$B$5="Hepsi",$C862=Test!$B$5)),1,0))</f>
        <v>0</v>
      </c>
      <c r="K862" s="10" t="n">
        <f aca="true">IF($J862=1,RAND(),-1)</f>
        <v>-1</v>
      </c>
      <c r="L862" s="10" t="str">
        <f aca="false">IF($J862=1,RANK($K862,$K$2:$K$1001),"")</f>
        <v/>
      </c>
    </row>
    <row r="863" customFormat="false" ht="15" hidden="false" customHeight="false" outlineLevel="0" collapsed="false">
      <c r="J863" s="10" t="n">
        <f aca="false">IF($D863="",0,IF(AND(OR(Test!$B$4="Hepsi",$B863=Test!$B$4),OR(Test!$B$5="Hepsi",$C863=Test!$B$5)),1,0))</f>
        <v>0</v>
      </c>
      <c r="K863" s="10" t="n">
        <f aca="true">IF($J863=1,RAND(),-1)</f>
        <v>-1</v>
      </c>
      <c r="L863" s="10" t="str">
        <f aca="false">IF($J863=1,RANK($K863,$K$2:$K$1001),"")</f>
        <v/>
      </c>
    </row>
    <row r="864" customFormat="false" ht="15" hidden="false" customHeight="false" outlineLevel="0" collapsed="false">
      <c r="J864" s="10" t="n">
        <f aca="false">IF($D864="",0,IF(AND(OR(Test!$B$4="Hepsi",$B864=Test!$B$4),OR(Test!$B$5="Hepsi",$C864=Test!$B$5)),1,0))</f>
        <v>0</v>
      </c>
      <c r="K864" s="10" t="n">
        <f aca="true">IF($J864=1,RAND(),-1)</f>
        <v>-1</v>
      </c>
      <c r="L864" s="10" t="str">
        <f aca="false">IF($J864=1,RANK($K864,$K$2:$K$1001),"")</f>
        <v/>
      </c>
    </row>
    <row r="865" customFormat="false" ht="15" hidden="false" customHeight="false" outlineLevel="0" collapsed="false">
      <c r="J865" s="10" t="n">
        <f aca="false">IF($D865="",0,IF(AND(OR(Test!$B$4="Hepsi",$B865=Test!$B$4),OR(Test!$B$5="Hepsi",$C865=Test!$B$5)),1,0))</f>
        <v>0</v>
      </c>
      <c r="K865" s="10" t="n">
        <f aca="true">IF($J865=1,RAND(),-1)</f>
        <v>-1</v>
      </c>
      <c r="L865" s="10" t="str">
        <f aca="false">IF($J865=1,RANK($K865,$K$2:$K$1001),"")</f>
        <v/>
      </c>
    </row>
    <row r="866" customFormat="false" ht="15" hidden="false" customHeight="false" outlineLevel="0" collapsed="false">
      <c r="J866" s="10" t="n">
        <f aca="false">IF($D866="",0,IF(AND(OR(Test!$B$4="Hepsi",$B866=Test!$B$4),OR(Test!$B$5="Hepsi",$C866=Test!$B$5)),1,0))</f>
        <v>0</v>
      </c>
      <c r="K866" s="10" t="n">
        <f aca="true">IF($J866=1,RAND(),-1)</f>
        <v>-1</v>
      </c>
      <c r="L866" s="10" t="str">
        <f aca="false">IF($J866=1,RANK($K866,$K$2:$K$1001),"")</f>
        <v/>
      </c>
    </row>
    <row r="867" customFormat="false" ht="15" hidden="false" customHeight="false" outlineLevel="0" collapsed="false">
      <c r="J867" s="10" t="n">
        <f aca="false">IF($D867="",0,IF(AND(OR(Test!$B$4="Hepsi",$B867=Test!$B$4),OR(Test!$B$5="Hepsi",$C867=Test!$B$5)),1,0))</f>
        <v>0</v>
      </c>
      <c r="K867" s="10" t="n">
        <f aca="true">IF($J867=1,RAND(),-1)</f>
        <v>-1</v>
      </c>
      <c r="L867" s="10" t="str">
        <f aca="false">IF($J867=1,RANK($K867,$K$2:$K$1001),"")</f>
        <v/>
      </c>
    </row>
    <row r="868" customFormat="false" ht="15" hidden="false" customHeight="false" outlineLevel="0" collapsed="false">
      <c r="J868" s="10" t="n">
        <f aca="false">IF($D868="",0,IF(AND(OR(Test!$B$4="Hepsi",$B868=Test!$B$4),OR(Test!$B$5="Hepsi",$C868=Test!$B$5)),1,0))</f>
        <v>0</v>
      </c>
      <c r="K868" s="10" t="n">
        <f aca="true">IF($J868=1,RAND(),-1)</f>
        <v>-1</v>
      </c>
      <c r="L868" s="10" t="str">
        <f aca="false">IF($J868=1,RANK($K868,$K$2:$K$1001),"")</f>
        <v/>
      </c>
    </row>
    <row r="869" customFormat="false" ht="15" hidden="false" customHeight="false" outlineLevel="0" collapsed="false">
      <c r="J869" s="10" t="n">
        <f aca="false">IF($D869="",0,IF(AND(OR(Test!$B$4="Hepsi",$B869=Test!$B$4),OR(Test!$B$5="Hepsi",$C869=Test!$B$5)),1,0))</f>
        <v>0</v>
      </c>
      <c r="K869" s="10" t="n">
        <f aca="true">IF($J869=1,RAND(),-1)</f>
        <v>-1</v>
      </c>
      <c r="L869" s="10" t="str">
        <f aca="false">IF($J869=1,RANK($K869,$K$2:$K$1001),"")</f>
        <v/>
      </c>
    </row>
    <row r="870" customFormat="false" ht="15" hidden="false" customHeight="false" outlineLevel="0" collapsed="false">
      <c r="J870" s="10" t="n">
        <f aca="false">IF($D870="",0,IF(AND(OR(Test!$B$4="Hepsi",$B870=Test!$B$4),OR(Test!$B$5="Hepsi",$C870=Test!$B$5)),1,0))</f>
        <v>0</v>
      </c>
      <c r="K870" s="10" t="n">
        <f aca="true">IF($J870=1,RAND(),-1)</f>
        <v>-1</v>
      </c>
      <c r="L870" s="10" t="str">
        <f aca="false">IF($J870=1,RANK($K870,$K$2:$K$1001),"")</f>
        <v/>
      </c>
    </row>
    <row r="871" customFormat="false" ht="15" hidden="false" customHeight="false" outlineLevel="0" collapsed="false">
      <c r="J871" s="10" t="n">
        <f aca="false">IF($D871="",0,IF(AND(OR(Test!$B$4="Hepsi",$B871=Test!$B$4),OR(Test!$B$5="Hepsi",$C871=Test!$B$5)),1,0))</f>
        <v>0</v>
      </c>
      <c r="K871" s="10" t="n">
        <f aca="true">IF($J871=1,RAND(),-1)</f>
        <v>-1</v>
      </c>
      <c r="L871" s="10" t="str">
        <f aca="false">IF($J871=1,RANK($K871,$K$2:$K$1001),"")</f>
        <v/>
      </c>
    </row>
    <row r="872" customFormat="false" ht="15" hidden="false" customHeight="false" outlineLevel="0" collapsed="false">
      <c r="J872" s="10" t="n">
        <f aca="false">IF($D872="",0,IF(AND(OR(Test!$B$4="Hepsi",$B872=Test!$B$4),OR(Test!$B$5="Hepsi",$C872=Test!$B$5)),1,0))</f>
        <v>0</v>
      </c>
      <c r="K872" s="10" t="n">
        <f aca="true">IF($J872=1,RAND(),-1)</f>
        <v>-1</v>
      </c>
      <c r="L872" s="10" t="str">
        <f aca="false">IF($J872=1,RANK($K872,$K$2:$K$1001),"")</f>
        <v/>
      </c>
    </row>
    <row r="873" customFormat="false" ht="15" hidden="false" customHeight="false" outlineLevel="0" collapsed="false">
      <c r="J873" s="10" t="n">
        <f aca="false">IF($D873="",0,IF(AND(OR(Test!$B$4="Hepsi",$B873=Test!$B$4),OR(Test!$B$5="Hepsi",$C873=Test!$B$5)),1,0))</f>
        <v>0</v>
      </c>
      <c r="K873" s="10" t="n">
        <f aca="true">IF($J873=1,RAND(),-1)</f>
        <v>-1</v>
      </c>
      <c r="L873" s="10" t="str">
        <f aca="false">IF($J873=1,RANK($K873,$K$2:$K$1001),"")</f>
        <v/>
      </c>
    </row>
    <row r="874" customFormat="false" ht="15" hidden="false" customHeight="false" outlineLevel="0" collapsed="false">
      <c r="J874" s="10" t="n">
        <f aca="false">IF($D874="",0,IF(AND(OR(Test!$B$4="Hepsi",$B874=Test!$B$4),OR(Test!$B$5="Hepsi",$C874=Test!$B$5)),1,0))</f>
        <v>0</v>
      </c>
      <c r="K874" s="10" t="n">
        <f aca="true">IF($J874=1,RAND(),-1)</f>
        <v>-1</v>
      </c>
      <c r="L874" s="10" t="str">
        <f aca="false">IF($J874=1,RANK($K874,$K$2:$K$1001),"")</f>
        <v/>
      </c>
    </row>
    <row r="875" customFormat="false" ht="15" hidden="false" customHeight="false" outlineLevel="0" collapsed="false">
      <c r="J875" s="10" t="n">
        <f aca="false">IF($D875="",0,IF(AND(OR(Test!$B$4="Hepsi",$B875=Test!$B$4),OR(Test!$B$5="Hepsi",$C875=Test!$B$5)),1,0))</f>
        <v>0</v>
      </c>
      <c r="K875" s="10" t="n">
        <f aca="true">IF($J875=1,RAND(),-1)</f>
        <v>-1</v>
      </c>
      <c r="L875" s="10" t="str">
        <f aca="false">IF($J875=1,RANK($K875,$K$2:$K$1001),"")</f>
        <v/>
      </c>
    </row>
    <row r="876" customFormat="false" ht="15" hidden="false" customHeight="false" outlineLevel="0" collapsed="false">
      <c r="J876" s="10" t="n">
        <f aca="false">IF($D876="",0,IF(AND(OR(Test!$B$4="Hepsi",$B876=Test!$B$4),OR(Test!$B$5="Hepsi",$C876=Test!$B$5)),1,0))</f>
        <v>0</v>
      </c>
      <c r="K876" s="10" t="n">
        <f aca="true">IF($J876=1,RAND(),-1)</f>
        <v>-1</v>
      </c>
      <c r="L876" s="10" t="str">
        <f aca="false">IF($J876=1,RANK($K876,$K$2:$K$1001),"")</f>
        <v/>
      </c>
    </row>
    <row r="877" customFormat="false" ht="15" hidden="false" customHeight="false" outlineLevel="0" collapsed="false">
      <c r="J877" s="10" t="n">
        <f aca="false">IF($D877="",0,IF(AND(OR(Test!$B$4="Hepsi",$B877=Test!$B$4),OR(Test!$B$5="Hepsi",$C877=Test!$B$5)),1,0))</f>
        <v>0</v>
      </c>
      <c r="K877" s="10" t="n">
        <f aca="true">IF($J877=1,RAND(),-1)</f>
        <v>-1</v>
      </c>
      <c r="L877" s="10" t="str">
        <f aca="false">IF($J877=1,RANK($K877,$K$2:$K$1001),"")</f>
        <v/>
      </c>
    </row>
    <row r="878" customFormat="false" ht="15" hidden="false" customHeight="false" outlineLevel="0" collapsed="false">
      <c r="J878" s="10" t="n">
        <f aca="false">IF($D878="",0,IF(AND(OR(Test!$B$4="Hepsi",$B878=Test!$B$4),OR(Test!$B$5="Hepsi",$C878=Test!$B$5)),1,0))</f>
        <v>0</v>
      </c>
      <c r="K878" s="10" t="n">
        <f aca="true">IF($J878=1,RAND(),-1)</f>
        <v>-1</v>
      </c>
      <c r="L878" s="10" t="str">
        <f aca="false">IF($J878=1,RANK($K878,$K$2:$K$1001),"")</f>
        <v/>
      </c>
    </row>
    <row r="879" customFormat="false" ht="15" hidden="false" customHeight="false" outlineLevel="0" collapsed="false">
      <c r="J879" s="10" t="n">
        <f aca="false">IF($D879="",0,IF(AND(OR(Test!$B$4="Hepsi",$B879=Test!$B$4),OR(Test!$B$5="Hepsi",$C879=Test!$B$5)),1,0))</f>
        <v>0</v>
      </c>
      <c r="K879" s="10" t="n">
        <f aca="true">IF($J879=1,RAND(),-1)</f>
        <v>-1</v>
      </c>
      <c r="L879" s="10" t="str">
        <f aca="false">IF($J879=1,RANK($K879,$K$2:$K$1001),"")</f>
        <v/>
      </c>
    </row>
    <row r="880" customFormat="false" ht="15" hidden="false" customHeight="false" outlineLevel="0" collapsed="false">
      <c r="J880" s="10" t="n">
        <f aca="false">IF($D880="",0,IF(AND(OR(Test!$B$4="Hepsi",$B880=Test!$B$4),OR(Test!$B$5="Hepsi",$C880=Test!$B$5)),1,0))</f>
        <v>0</v>
      </c>
      <c r="K880" s="10" t="n">
        <f aca="true">IF($J880=1,RAND(),-1)</f>
        <v>-1</v>
      </c>
      <c r="L880" s="10" t="str">
        <f aca="false">IF($J880=1,RANK($K880,$K$2:$K$1001),"")</f>
        <v/>
      </c>
    </row>
    <row r="881" customFormat="false" ht="15" hidden="false" customHeight="false" outlineLevel="0" collapsed="false">
      <c r="J881" s="10" t="n">
        <f aca="false">IF($D881="",0,IF(AND(OR(Test!$B$4="Hepsi",$B881=Test!$B$4),OR(Test!$B$5="Hepsi",$C881=Test!$B$5)),1,0))</f>
        <v>0</v>
      </c>
      <c r="K881" s="10" t="n">
        <f aca="true">IF($J881=1,RAND(),-1)</f>
        <v>-1</v>
      </c>
      <c r="L881" s="10" t="str">
        <f aca="false">IF($J881=1,RANK($K881,$K$2:$K$1001),"")</f>
        <v/>
      </c>
    </row>
    <row r="882" customFormat="false" ht="15" hidden="false" customHeight="false" outlineLevel="0" collapsed="false">
      <c r="J882" s="10" t="n">
        <f aca="false">IF($D882="",0,IF(AND(OR(Test!$B$4="Hepsi",$B882=Test!$B$4),OR(Test!$B$5="Hepsi",$C882=Test!$B$5)),1,0))</f>
        <v>0</v>
      </c>
      <c r="K882" s="10" t="n">
        <f aca="true">IF($J882=1,RAND(),-1)</f>
        <v>-1</v>
      </c>
      <c r="L882" s="10" t="str">
        <f aca="false">IF($J882=1,RANK($K882,$K$2:$K$1001),"")</f>
        <v/>
      </c>
    </row>
    <row r="883" customFormat="false" ht="15" hidden="false" customHeight="false" outlineLevel="0" collapsed="false">
      <c r="J883" s="10" t="n">
        <f aca="false">IF($D883="",0,IF(AND(OR(Test!$B$4="Hepsi",$B883=Test!$B$4),OR(Test!$B$5="Hepsi",$C883=Test!$B$5)),1,0))</f>
        <v>0</v>
      </c>
      <c r="K883" s="10" t="n">
        <f aca="true">IF($J883=1,RAND(),-1)</f>
        <v>-1</v>
      </c>
      <c r="L883" s="10" t="str">
        <f aca="false">IF($J883=1,RANK($K883,$K$2:$K$1001),"")</f>
        <v/>
      </c>
    </row>
    <row r="884" customFormat="false" ht="15" hidden="false" customHeight="false" outlineLevel="0" collapsed="false">
      <c r="J884" s="10" t="n">
        <f aca="false">IF($D884="",0,IF(AND(OR(Test!$B$4="Hepsi",$B884=Test!$B$4),OR(Test!$B$5="Hepsi",$C884=Test!$B$5)),1,0))</f>
        <v>0</v>
      </c>
      <c r="K884" s="10" t="n">
        <f aca="true">IF($J884=1,RAND(),-1)</f>
        <v>-1</v>
      </c>
      <c r="L884" s="10" t="str">
        <f aca="false">IF($J884=1,RANK($K884,$K$2:$K$1001),"")</f>
        <v/>
      </c>
    </row>
    <row r="885" customFormat="false" ht="15" hidden="false" customHeight="false" outlineLevel="0" collapsed="false">
      <c r="J885" s="10" t="n">
        <f aca="false">IF($D885="",0,IF(AND(OR(Test!$B$4="Hepsi",$B885=Test!$B$4),OR(Test!$B$5="Hepsi",$C885=Test!$B$5)),1,0))</f>
        <v>0</v>
      </c>
      <c r="K885" s="10" t="n">
        <f aca="true">IF($J885=1,RAND(),-1)</f>
        <v>-1</v>
      </c>
      <c r="L885" s="10" t="str">
        <f aca="false">IF($J885=1,RANK($K885,$K$2:$K$1001),"")</f>
        <v/>
      </c>
    </row>
    <row r="886" customFormat="false" ht="15" hidden="false" customHeight="false" outlineLevel="0" collapsed="false">
      <c r="J886" s="10" t="n">
        <f aca="false">IF($D886="",0,IF(AND(OR(Test!$B$4="Hepsi",$B886=Test!$B$4),OR(Test!$B$5="Hepsi",$C886=Test!$B$5)),1,0))</f>
        <v>0</v>
      </c>
      <c r="K886" s="10" t="n">
        <f aca="true">IF($J886=1,RAND(),-1)</f>
        <v>-1</v>
      </c>
      <c r="L886" s="10" t="str">
        <f aca="false">IF($J886=1,RANK($K886,$K$2:$K$1001),"")</f>
        <v/>
      </c>
    </row>
    <row r="887" customFormat="false" ht="15" hidden="false" customHeight="false" outlineLevel="0" collapsed="false">
      <c r="J887" s="10" t="n">
        <f aca="false">IF($D887="",0,IF(AND(OR(Test!$B$4="Hepsi",$B887=Test!$B$4),OR(Test!$B$5="Hepsi",$C887=Test!$B$5)),1,0))</f>
        <v>0</v>
      </c>
      <c r="K887" s="10" t="n">
        <f aca="true">IF($J887=1,RAND(),-1)</f>
        <v>-1</v>
      </c>
      <c r="L887" s="10" t="str">
        <f aca="false">IF($J887=1,RANK($K887,$K$2:$K$1001),"")</f>
        <v/>
      </c>
    </row>
    <row r="888" customFormat="false" ht="15" hidden="false" customHeight="false" outlineLevel="0" collapsed="false">
      <c r="J888" s="10" t="n">
        <f aca="false">IF($D888="",0,IF(AND(OR(Test!$B$4="Hepsi",$B888=Test!$B$4),OR(Test!$B$5="Hepsi",$C888=Test!$B$5)),1,0))</f>
        <v>0</v>
      </c>
      <c r="K888" s="10" t="n">
        <f aca="true">IF($J888=1,RAND(),-1)</f>
        <v>-1</v>
      </c>
      <c r="L888" s="10" t="str">
        <f aca="false">IF($J888=1,RANK($K888,$K$2:$K$1001),"")</f>
        <v/>
      </c>
    </row>
    <row r="889" customFormat="false" ht="15" hidden="false" customHeight="false" outlineLevel="0" collapsed="false">
      <c r="J889" s="10" t="n">
        <f aca="false">IF($D889="",0,IF(AND(OR(Test!$B$4="Hepsi",$B889=Test!$B$4),OR(Test!$B$5="Hepsi",$C889=Test!$B$5)),1,0))</f>
        <v>0</v>
      </c>
      <c r="K889" s="10" t="n">
        <f aca="true">IF($J889=1,RAND(),-1)</f>
        <v>-1</v>
      </c>
      <c r="L889" s="10" t="str">
        <f aca="false">IF($J889=1,RANK($K889,$K$2:$K$1001),"")</f>
        <v/>
      </c>
    </row>
    <row r="890" customFormat="false" ht="15" hidden="false" customHeight="false" outlineLevel="0" collapsed="false">
      <c r="J890" s="10" t="n">
        <f aca="false">IF($D890="",0,IF(AND(OR(Test!$B$4="Hepsi",$B890=Test!$B$4),OR(Test!$B$5="Hepsi",$C890=Test!$B$5)),1,0))</f>
        <v>0</v>
      </c>
      <c r="K890" s="10" t="n">
        <f aca="true">IF($J890=1,RAND(),-1)</f>
        <v>-1</v>
      </c>
      <c r="L890" s="10" t="str">
        <f aca="false">IF($J890=1,RANK($K890,$K$2:$K$1001),"")</f>
        <v/>
      </c>
    </row>
    <row r="891" customFormat="false" ht="15" hidden="false" customHeight="false" outlineLevel="0" collapsed="false">
      <c r="J891" s="10" t="n">
        <f aca="false">IF($D891="",0,IF(AND(OR(Test!$B$4="Hepsi",$B891=Test!$B$4),OR(Test!$B$5="Hepsi",$C891=Test!$B$5)),1,0))</f>
        <v>0</v>
      </c>
      <c r="K891" s="10" t="n">
        <f aca="true">IF($J891=1,RAND(),-1)</f>
        <v>-1</v>
      </c>
      <c r="L891" s="10" t="str">
        <f aca="false">IF($J891=1,RANK($K891,$K$2:$K$1001),"")</f>
        <v/>
      </c>
    </row>
    <row r="892" customFormat="false" ht="15" hidden="false" customHeight="false" outlineLevel="0" collapsed="false">
      <c r="J892" s="10" t="n">
        <f aca="false">IF($D892="",0,IF(AND(OR(Test!$B$4="Hepsi",$B892=Test!$B$4),OR(Test!$B$5="Hepsi",$C892=Test!$B$5)),1,0))</f>
        <v>0</v>
      </c>
      <c r="K892" s="10" t="n">
        <f aca="true">IF($J892=1,RAND(),-1)</f>
        <v>-1</v>
      </c>
      <c r="L892" s="10" t="str">
        <f aca="false">IF($J892=1,RANK($K892,$K$2:$K$1001),"")</f>
        <v/>
      </c>
    </row>
    <row r="893" customFormat="false" ht="15" hidden="false" customHeight="false" outlineLevel="0" collapsed="false">
      <c r="J893" s="10" t="n">
        <f aca="false">IF($D893="",0,IF(AND(OR(Test!$B$4="Hepsi",$B893=Test!$B$4),OR(Test!$B$5="Hepsi",$C893=Test!$B$5)),1,0))</f>
        <v>0</v>
      </c>
      <c r="K893" s="10" t="n">
        <f aca="true">IF($J893=1,RAND(),-1)</f>
        <v>-1</v>
      </c>
      <c r="L893" s="10" t="str">
        <f aca="false">IF($J893=1,RANK($K893,$K$2:$K$1001),"")</f>
        <v/>
      </c>
    </row>
    <row r="894" customFormat="false" ht="15" hidden="false" customHeight="false" outlineLevel="0" collapsed="false">
      <c r="J894" s="10" t="n">
        <f aca="false">IF($D894="",0,IF(AND(OR(Test!$B$4="Hepsi",$B894=Test!$B$4),OR(Test!$B$5="Hepsi",$C894=Test!$B$5)),1,0))</f>
        <v>0</v>
      </c>
      <c r="K894" s="10" t="n">
        <f aca="true">IF($J894=1,RAND(),-1)</f>
        <v>-1</v>
      </c>
      <c r="L894" s="10" t="str">
        <f aca="false">IF($J894=1,RANK($K894,$K$2:$K$1001),"")</f>
        <v/>
      </c>
    </row>
    <row r="895" customFormat="false" ht="15" hidden="false" customHeight="false" outlineLevel="0" collapsed="false">
      <c r="J895" s="10" t="n">
        <f aca="false">IF($D895="",0,IF(AND(OR(Test!$B$4="Hepsi",$B895=Test!$B$4),OR(Test!$B$5="Hepsi",$C895=Test!$B$5)),1,0))</f>
        <v>0</v>
      </c>
      <c r="K895" s="10" t="n">
        <f aca="true">IF($J895=1,RAND(),-1)</f>
        <v>-1</v>
      </c>
      <c r="L895" s="10" t="str">
        <f aca="false">IF($J895=1,RANK($K895,$K$2:$K$1001),"")</f>
        <v/>
      </c>
    </row>
    <row r="896" customFormat="false" ht="15" hidden="false" customHeight="false" outlineLevel="0" collapsed="false">
      <c r="J896" s="10" t="n">
        <f aca="false">IF($D896="",0,IF(AND(OR(Test!$B$4="Hepsi",$B896=Test!$B$4),OR(Test!$B$5="Hepsi",$C896=Test!$B$5)),1,0))</f>
        <v>0</v>
      </c>
      <c r="K896" s="10" t="n">
        <f aca="true">IF($J896=1,RAND(),-1)</f>
        <v>-1</v>
      </c>
      <c r="L896" s="10" t="str">
        <f aca="false">IF($J896=1,RANK($K896,$K$2:$K$1001),"")</f>
        <v/>
      </c>
    </row>
    <row r="897" customFormat="false" ht="15" hidden="false" customHeight="false" outlineLevel="0" collapsed="false">
      <c r="J897" s="10" t="n">
        <f aca="false">IF($D897="",0,IF(AND(OR(Test!$B$4="Hepsi",$B897=Test!$B$4),OR(Test!$B$5="Hepsi",$C897=Test!$B$5)),1,0))</f>
        <v>0</v>
      </c>
      <c r="K897" s="10" t="n">
        <f aca="true">IF($J897=1,RAND(),-1)</f>
        <v>-1</v>
      </c>
      <c r="L897" s="10" t="str">
        <f aca="false">IF($J897=1,RANK($K897,$K$2:$K$1001),"")</f>
        <v/>
      </c>
    </row>
    <row r="898" customFormat="false" ht="15" hidden="false" customHeight="false" outlineLevel="0" collapsed="false">
      <c r="J898" s="10" t="n">
        <f aca="false">IF($D898="",0,IF(AND(OR(Test!$B$4="Hepsi",$B898=Test!$B$4),OR(Test!$B$5="Hepsi",$C898=Test!$B$5)),1,0))</f>
        <v>0</v>
      </c>
      <c r="K898" s="10" t="n">
        <f aca="true">IF($J898=1,RAND(),-1)</f>
        <v>-1</v>
      </c>
      <c r="L898" s="10" t="str">
        <f aca="false">IF($J898=1,RANK($K898,$K$2:$K$1001),"")</f>
        <v/>
      </c>
    </row>
    <row r="899" customFormat="false" ht="15" hidden="false" customHeight="false" outlineLevel="0" collapsed="false">
      <c r="J899" s="10" t="n">
        <f aca="false">IF($D899="",0,IF(AND(OR(Test!$B$4="Hepsi",$B899=Test!$B$4),OR(Test!$B$5="Hepsi",$C899=Test!$B$5)),1,0))</f>
        <v>0</v>
      </c>
      <c r="K899" s="10" t="n">
        <f aca="true">IF($J899=1,RAND(),-1)</f>
        <v>-1</v>
      </c>
      <c r="L899" s="10" t="str">
        <f aca="false">IF($J899=1,RANK($K899,$K$2:$K$1001),"")</f>
        <v/>
      </c>
    </row>
    <row r="900" customFormat="false" ht="15" hidden="false" customHeight="false" outlineLevel="0" collapsed="false">
      <c r="J900" s="10" t="n">
        <f aca="false">IF($D900="",0,IF(AND(OR(Test!$B$4="Hepsi",$B900=Test!$B$4),OR(Test!$B$5="Hepsi",$C900=Test!$B$5)),1,0))</f>
        <v>0</v>
      </c>
      <c r="K900" s="10" t="n">
        <f aca="true">IF($J900=1,RAND(),-1)</f>
        <v>-1</v>
      </c>
      <c r="L900" s="10" t="str">
        <f aca="false">IF($J900=1,RANK($K900,$K$2:$K$1001),"")</f>
        <v/>
      </c>
    </row>
    <row r="901" customFormat="false" ht="15" hidden="false" customHeight="false" outlineLevel="0" collapsed="false">
      <c r="J901" s="10" t="n">
        <f aca="false">IF($D901="",0,IF(AND(OR(Test!$B$4="Hepsi",$B901=Test!$B$4),OR(Test!$B$5="Hepsi",$C901=Test!$B$5)),1,0))</f>
        <v>0</v>
      </c>
      <c r="K901" s="10" t="n">
        <f aca="true">IF($J901=1,RAND(),-1)</f>
        <v>-1</v>
      </c>
      <c r="L901" s="10" t="str">
        <f aca="false">IF($J901=1,RANK($K901,$K$2:$K$1001),"")</f>
        <v/>
      </c>
    </row>
    <row r="902" customFormat="false" ht="15" hidden="false" customHeight="false" outlineLevel="0" collapsed="false">
      <c r="J902" s="10" t="n">
        <f aca="false">IF($D902="",0,IF(AND(OR(Test!$B$4="Hepsi",$B902=Test!$B$4),OR(Test!$B$5="Hepsi",$C902=Test!$B$5)),1,0))</f>
        <v>0</v>
      </c>
      <c r="K902" s="10" t="n">
        <f aca="true">IF($J902=1,RAND(),-1)</f>
        <v>-1</v>
      </c>
      <c r="L902" s="10" t="str">
        <f aca="false">IF($J902=1,RANK($K902,$K$2:$K$1001),"")</f>
        <v/>
      </c>
    </row>
    <row r="903" customFormat="false" ht="15" hidden="false" customHeight="false" outlineLevel="0" collapsed="false">
      <c r="J903" s="10" t="n">
        <f aca="false">IF($D903="",0,IF(AND(OR(Test!$B$4="Hepsi",$B903=Test!$B$4),OR(Test!$B$5="Hepsi",$C903=Test!$B$5)),1,0))</f>
        <v>0</v>
      </c>
      <c r="K903" s="10" t="n">
        <f aca="true">IF($J903=1,RAND(),-1)</f>
        <v>-1</v>
      </c>
      <c r="L903" s="10" t="str">
        <f aca="false">IF($J903=1,RANK($K903,$K$2:$K$1001),"")</f>
        <v/>
      </c>
    </row>
    <row r="904" customFormat="false" ht="15" hidden="false" customHeight="false" outlineLevel="0" collapsed="false">
      <c r="J904" s="10" t="n">
        <f aca="false">IF($D904="",0,IF(AND(OR(Test!$B$4="Hepsi",$B904=Test!$B$4),OR(Test!$B$5="Hepsi",$C904=Test!$B$5)),1,0))</f>
        <v>0</v>
      </c>
      <c r="K904" s="10" t="n">
        <f aca="true">IF($J904=1,RAND(),-1)</f>
        <v>-1</v>
      </c>
      <c r="L904" s="10" t="str">
        <f aca="false">IF($J904=1,RANK($K904,$K$2:$K$1001),"")</f>
        <v/>
      </c>
    </row>
    <row r="905" customFormat="false" ht="15" hidden="false" customHeight="false" outlineLevel="0" collapsed="false">
      <c r="J905" s="10" t="n">
        <f aca="false">IF($D905="",0,IF(AND(OR(Test!$B$4="Hepsi",$B905=Test!$B$4),OR(Test!$B$5="Hepsi",$C905=Test!$B$5)),1,0))</f>
        <v>0</v>
      </c>
      <c r="K905" s="10" t="n">
        <f aca="true">IF($J905=1,RAND(),-1)</f>
        <v>-1</v>
      </c>
      <c r="L905" s="10" t="str">
        <f aca="false">IF($J905=1,RANK($K905,$K$2:$K$1001),"")</f>
        <v/>
      </c>
    </row>
    <row r="906" customFormat="false" ht="15" hidden="false" customHeight="false" outlineLevel="0" collapsed="false">
      <c r="J906" s="10" t="n">
        <f aca="false">IF($D906="",0,IF(AND(OR(Test!$B$4="Hepsi",$B906=Test!$B$4),OR(Test!$B$5="Hepsi",$C906=Test!$B$5)),1,0))</f>
        <v>0</v>
      </c>
      <c r="K906" s="10" t="n">
        <f aca="true">IF($J906=1,RAND(),-1)</f>
        <v>-1</v>
      </c>
      <c r="L906" s="10" t="str">
        <f aca="false">IF($J906=1,RANK($K906,$K$2:$K$1001),"")</f>
        <v/>
      </c>
    </row>
    <row r="907" customFormat="false" ht="15" hidden="false" customHeight="false" outlineLevel="0" collapsed="false">
      <c r="J907" s="10" t="n">
        <f aca="false">IF($D907="",0,IF(AND(OR(Test!$B$4="Hepsi",$B907=Test!$B$4),OR(Test!$B$5="Hepsi",$C907=Test!$B$5)),1,0))</f>
        <v>0</v>
      </c>
      <c r="K907" s="10" t="n">
        <f aca="true">IF($J907=1,RAND(),-1)</f>
        <v>-1</v>
      </c>
      <c r="L907" s="10" t="str">
        <f aca="false">IF($J907=1,RANK($K907,$K$2:$K$1001),"")</f>
        <v/>
      </c>
    </row>
    <row r="908" customFormat="false" ht="15" hidden="false" customHeight="false" outlineLevel="0" collapsed="false">
      <c r="J908" s="10" t="n">
        <f aca="false">IF($D908="",0,IF(AND(OR(Test!$B$4="Hepsi",$B908=Test!$B$4),OR(Test!$B$5="Hepsi",$C908=Test!$B$5)),1,0))</f>
        <v>0</v>
      </c>
      <c r="K908" s="10" t="n">
        <f aca="true">IF($J908=1,RAND(),-1)</f>
        <v>-1</v>
      </c>
      <c r="L908" s="10" t="str">
        <f aca="false">IF($J908=1,RANK($K908,$K$2:$K$1001),"")</f>
        <v/>
      </c>
    </row>
    <row r="909" customFormat="false" ht="15" hidden="false" customHeight="false" outlineLevel="0" collapsed="false">
      <c r="J909" s="10" t="n">
        <f aca="false">IF($D909="",0,IF(AND(OR(Test!$B$4="Hepsi",$B909=Test!$B$4),OR(Test!$B$5="Hepsi",$C909=Test!$B$5)),1,0))</f>
        <v>0</v>
      </c>
      <c r="K909" s="10" t="n">
        <f aca="true">IF($J909=1,RAND(),-1)</f>
        <v>-1</v>
      </c>
      <c r="L909" s="10" t="str">
        <f aca="false">IF($J909=1,RANK($K909,$K$2:$K$1001),"")</f>
        <v/>
      </c>
    </row>
    <row r="910" customFormat="false" ht="15" hidden="false" customHeight="false" outlineLevel="0" collapsed="false">
      <c r="J910" s="10" t="n">
        <f aca="false">IF($D910="",0,IF(AND(OR(Test!$B$4="Hepsi",$B910=Test!$B$4),OR(Test!$B$5="Hepsi",$C910=Test!$B$5)),1,0))</f>
        <v>0</v>
      </c>
      <c r="K910" s="10" t="n">
        <f aca="true">IF($J910=1,RAND(),-1)</f>
        <v>-1</v>
      </c>
      <c r="L910" s="10" t="str">
        <f aca="false">IF($J910=1,RANK($K910,$K$2:$K$1001),"")</f>
        <v/>
      </c>
    </row>
    <row r="911" customFormat="false" ht="15" hidden="false" customHeight="false" outlineLevel="0" collapsed="false">
      <c r="J911" s="10" t="n">
        <f aca="false">IF($D911="",0,IF(AND(OR(Test!$B$4="Hepsi",$B911=Test!$B$4),OR(Test!$B$5="Hepsi",$C911=Test!$B$5)),1,0))</f>
        <v>0</v>
      </c>
      <c r="K911" s="10" t="n">
        <f aca="true">IF($J911=1,RAND(),-1)</f>
        <v>-1</v>
      </c>
      <c r="L911" s="10" t="str">
        <f aca="false">IF($J911=1,RANK($K911,$K$2:$K$1001),"")</f>
        <v/>
      </c>
    </row>
    <row r="912" customFormat="false" ht="15" hidden="false" customHeight="false" outlineLevel="0" collapsed="false">
      <c r="J912" s="10" t="n">
        <f aca="false">IF($D912="",0,IF(AND(OR(Test!$B$4="Hepsi",$B912=Test!$B$4),OR(Test!$B$5="Hepsi",$C912=Test!$B$5)),1,0))</f>
        <v>0</v>
      </c>
      <c r="K912" s="10" t="n">
        <f aca="true">IF($J912=1,RAND(),-1)</f>
        <v>-1</v>
      </c>
      <c r="L912" s="10" t="str">
        <f aca="false">IF($J912=1,RANK($K912,$K$2:$K$1001),"")</f>
        <v/>
      </c>
    </row>
    <row r="913" customFormat="false" ht="15" hidden="false" customHeight="false" outlineLevel="0" collapsed="false">
      <c r="J913" s="10" t="n">
        <f aca="false">IF($D913="",0,IF(AND(OR(Test!$B$4="Hepsi",$B913=Test!$B$4),OR(Test!$B$5="Hepsi",$C913=Test!$B$5)),1,0))</f>
        <v>0</v>
      </c>
      <c r="K913" s="10" t="n">
        <f aca="true">IF($J913=1,RAND(),-1)</f>
        <v>-1</v>
      </c>
      <c r="L913" s="10" t="str">
        <f aca="false">IF($J913=1,RANK($K913,$K$2:$K$1001),"")</f>
        <v/>
      </c>
    </row>
    <row r="914" customFormat="false" ht="15" hidden="false" customHeight="false" outlineLevel="0" collapsed="false">
      <c r="J914" s="10" t="n">
        <f aca="false">IF($D914="",0,IF(AND(OR(Test!$B$4="Hepsi",$B914=Test!$B$4),OR(Test!$B$5="Hepsi",$C914=Test!$B$5)),1,0))</f>
        <v>0</v>
      </c>
      <c r="K914" s="10" t="n">
        <f aca="true">IF($J914=1,RAND(),-1)</f>
        <v>-1</v>
      </c>
      <c r="L914" s="10" t="str">
        <f aca="false">IF($J914=1,RANK($K914,$K$2:$K$1001),"")</f>
        <v/>
      </c>
    </row>
    <row r="915" customFormat="false" ht="15" hidden="false" customHeight="false" outlineLevel="0" collapsed="false">
      <c r="J915" s="10" t="n">
        <f aca="false">IF($D915="",0,IF(AND(OR(Test!$B$4="Hepsi",$B915=Test!$B$4),OR(Test!$B$5="Hepsi",$C915=Test!$B$5)),1,0))</f>
        <v>0</v>
      </c>
      <c r="K915" s="10" t="n">
        <f aca="true">IF($J915=1,RAND(),-1)</f>
        <v>-1</v>
      </c>
      <c r="L915" s="10" t="str">
        <f aca="false">IF($J915=1,RANK($K915,$K$2:$K$1001),"")</f>
        <v/>
      </c>
    </row>
    <row r="916" customFormat="false" ht="15" hidden="false" customHeight="false" outlineLevel="0" collapsed="false">
      <c r="J916" s="10" t="n">
        <f aca="false">IF($D916="",0,IF(AND(OR(Test!$B$4="Hepsi",$B916=Test!$B$4),OR(Test!$B$5="Hepsi",$C916=Test!$B$5)),1,0))</f>
        <v>0</v>
      </c>
      <c r="K916" s="10" t="n">
        <f aca="true">IF($J916=1,RAND(),-1)</f>
        <v>-1</v>
      </c>
      <c r="L916" s="10" t="str">
        <f aca="false">IF($J916=1,RANK($K916,$K$2:$K$1001),"")</f>
        <v/>
      </c>
    </row>
    <row r="917" customFormat="false" ht="15" hidden="false" customHeight="false" outlineLevel="0" collapsed="false">
      <c r="J917" s="10" t="n">
        <f aca="false">IF($D917="",0,IF(AND(OR(Test!$B$4="Hepsi",$B917=Test!$B$4),OR(Test!$B$5="Hepsi",$C917=Test!$B$5)),1,0))</f>
        <v>0</v>
      </c>
      <c r="K917" s="10" t="n">
        <f aca="true">IF($J917=1,RAND(),-1)</f>
        <v>-1</v>
      </c>
      <c r="L917" s="10" t="str">
        <f aca="false">IF($J917=1,RANK($K917,$K$2:$K$1001),"")</f>
        <v/>
      </c>
    </row>
    <row r="918" customFormat="false" ht="15" hidden="false" customHeight="false" outlineLevel="0" collapsed="false">
      <c r="J918" s="10" t="n">
        <f aca="false">IF($D918="",0,IF(AND(OR(Test!$B$4="Hepsi",$B918=Test!$B$4),OR(Test!$B$5="Hepsi",$C918=Test!$B$5)),1,0))</f>
        <v>0</v>
      </c>
      <c r="K918" s="10" t="n">
        <f aca="true">IF($J918=1,RAND(),-1)</f>
        <v>-1</v>
      </c>
      <c r="L918" s="10" t="str">
        <f aca="false">IF($J918=1,RANK($K918,$K$2:$K$1001),"")</f>
        <v/>
      </c>
    </row>
    <row r="919" customFormat="false" ht="15" hidden="false" customHeight="false" outlineLevel="0" collapsed="false">
      <c r="J919" s="10" t="n">
        <f aca="false">IF($D919="",0,IF(AND(OR(Test!$B$4="Hepsi",$B919=Test!$B$4),OR(Test!$B$5="Hepsi",$C919=Test!$B$5)),1,0))</f>
        <v>0</v>
      </c>
      <c r="K919" s="10" t="n">
        <f aca="true">IF($J919=1,RAND(),-1)</f>
        <v>-1</v>
      </c>
      <c r="L919" s="10" t="str">
        <f aca="false">IF($J919=1,RANK($K919,$K$2:$K$1001),"")</f>
        <v/>
      </c>
    </row>
    <row r="920" customFormat="false" ht="15" hidden="false" customHeight="false" outlineLevel="0" collapsed="false">
      <c r="J920" s="10" t="n">
        <f aca="false">IF($D920="",0,IF(AND(OR(Test!$B$4="Hepsi",$B920=Test!$B$4),OR(Test!$B$5="Hepsi",$C920=Test!$B$5)),1,0))</f>
        <v>0</v>
      </c>
      <c r="K920" s="10" t="n">
        <f aca="true">IF($J920=1,RAND(),-1)</f>
        <v>-1</v>
      </c>
      <c r="L920" s="10" t="str">
        <f aca="false">IF($J920=1,RANK($K920,$K$2:$K$1001),"")</f>
        <v/>
      </c>
    </row>
    <row r="921" customFormat="false" ht="15" hidden="false" customHeight="false" outlineLevel="0" collapsed="false">
      <c r="J921" s="10" t="n">
        <f aca="false">IF($D921="",0,IF(AND(OR(Test!$B$4="Hepsi",$B921=Test!$B$4),OR(Test!$B$5="Hepsi",$C921=Test!$B$5)),1,0))</f>
        <v>0</v>
      </c>
      <c r="K921" s="10" t="n">
        <f aca="true">IF($J921=1,RAND(),-1)</f>
        <v>-1</v>
      </c>
      <c r="L921" s="10" t="str">
        <f aca="false">IF($J921=1,RANK($K921,$K$2:$K$1001),"")</f>
        <v/>
      </c>
    </row>
    <row r="922" customFormat="false" ht="15" hidden="false" customHeight="false" outlineLevel="0" collapsed="false">
      <c r="J922" s="10" t="n">
        <f aca="false">IF($D922="",0,IF(AND(OR(Test!$B$4="Hepsi",$B922=Test!$B$4),OR(Test!$B$5="Hepsi",$C922=Test!$B$5)),1,0))</f>
        <v>0</v>
      </c>
      <c r="K922" s="10" t="n">
        <f aca="true">IF($J922=1,RAND(),-1)</f>
        <v>-1</v>
      </c>
      <c r="L922" s="10" t="str">
        <f aca="false">IF($J922=1,RANK($K922,$K$2:$K$1001),"")</f>
        <v/>
      </c>
    </row>
    <row r="923" customFormat="false" ht="15" hidden="false" customHeight="false" outlineLevel="0" collapsed="false">
      <c r="J923" s="10" t="n">
        <f aca="false">IF($D923="",0,IF(AND(OR(Test!$B$4="Hepsi",$B923=Test!$B$4),OR(Test!$B$5="Hepsi",$C923=Test!$B$5)),1,0))</f>
        <v>0</v>
      </c>
      <c r="K923" s="10" t="n">
        <f aca="true">IF($J923=1,RAND(),-1)</f>
        <v>-1</v>
      </c>
      <c r="L923" s="10" t="str">
        <f aca="false">IF($J923=1,RANK($K923,$K$2:$K$1001),"")</f>
        <v/>
      </c>
    </row>
    <row r="924" customFormat="false" ht="15" hidden="false" customHeight="false" outlineLevel="0" collapsed="false">
      <c r="J924" s="10" t="n">
        <f aca="false">IF($D924="",0,IF(AND(OR(Test!$B$4="Hepsi",$B924=Test!$B$4),OR(Test!$B$5="Hepsi",$C924=Test!$B$5)),1,0))</f>
        <v>0</v>
      </c>
      <c r="K924" s="10" t="n">
        <f aca="true">IF($J924=1,RAND(),-1)</f>
        <v>-1</v>
      </c>
      <c r="L924" s="10" t="str">
        <f aca="false">IF($J924=1,RANK($K924,$K$2:$K$1001),"")</f>
        <v/>
      </c>
    </row>
    <row r="925" customFormat="false" ht="15" hidden="false" customHeight="false" outlineLevel="0" collapsed="false">
      <c r="J925" s="10" t="n">
        <f aca="false">IF($D925="",0,IF(AND(OR(Test!$B$4="Hepsi",$B925=Test!$B$4),OR(Test!$B$5="Hepsi",$C925=Test!$B$5)),1,0))</f>
        <v>0</v>
      </c>
      <c r="K925" s="10" t="n">
        <f aca="true">IF($J925=1,RAND(),-1)</f>
        <v>-1</v>
      </c>
      <c r="L925" s="10" t="str">
        <f aca="false">IF($J925=1,RANK($K925,$K$2:$K$1001),"")</f>
        <v/>
      </c>
    </row>
    <row r="926" customFormat="false" ht="15" hidden="false" customHeight="false" outlineLevel="0" collapsed="false">
      <c r="J926" s="10" t="n">
        <f aca="false">IF($D926="",0,IF(AND(OR(Test!$B$4="Hepsi",$B926=Test!$B$4),OR(Test!$B$5="Hepsi",$C926=Test!$B$5)),1,0))</f>
        <v>0</v>
      </c>
      <c r="K926" s="10" t="n">
        <f aca="true">IF($J926=1,RAND(),-1)</f>
        <v>-1</v>
      </c>
      <c r="L926" s="10" t="str">
        <f aca="false">IF($J926=1,RANK($K926,$K$2:$K$1001),"")</f>
        <v/>
      </c>
    </row>
    <row r="927" customFormat="false" ht="15" hidden="false" customHeight="false" outlineLevel="0" collapsed="false">
      <c r="J927" s="10" t="n">
        <f aca="false">IF($D927="",0,IF(AND(OR(Test!$B$4="Hepsi",$B927=Test!$B$4),OR(Test!$B$5="Hepsi",$C927=Test!$B$5)),1,0))</f>
        <v>0</v>
      </c>
      <c r="K927" s="10" t="n">
        <f aca="true">IF($J927=1,RAND(),-1)</f>
        <v>-1</v>
      </c>
      <c r="L927" s="10" t="str">
        <f aca="false">IF($J927=1,RANK($K927,$K$2:$K$1001),"")</f>
        <v/>
      </c>
    </row>
    <row r="928" customFormat="false" ht="15" hidden="false" customHeight="false" outlineLevel="0" collapsed="false">
      <c r="J928" s="10" t="n">
        <f aca="false">IF($D928="",0,IF(AND(OR(Test!$B$4="Hepsi",$B928=Test!$B$4),OR(Test!$B$5="Hepsi",$C928=Test!$B$5)),1,0))</f>
        <v>0</v>
      </c>
      <c r="K928" s="10" t="n">
        <f aca="true">IF($J928=1,RAND(),-1)</f>
        <v>-1</v>
      </c>
      <c r="L928" s="10" t="str">
        <f aca="false">IF($J928=1,RANK($K928,$K$2:$K$1001),"")</f>
        <v/>
      </c>
    </row>
    <row r="929" customFormat="false" ht="15" hidden="false" customHeight="false" outlineLevel="0" collapsed="false">
      <c r="J929" s="10" t="n">
        <f aca="false">IF($D929="",0,IF(AND(OR(Test!$B$4="Hepsi",$B929=Test!$B$4),OR(Test!$B$5="Hepsi",$C929=Test!$B$5)),1,0))</f>
        <v>0</v>
      </c>
      <c r="K929" s="10" t="n">
        <f aca="true">IF($J929=1,RAND(),-1)</f>
        <v>-1</v>
      </c>
      <c r="L929" s="10" t="str">
        <f aca="false">IF($J929=1,RANK($K929,$K$2:$K$1001),"")</f>
        <v/>
      </c>
    </row>
    <row r="930" customFormat="false" ht="15" hidden="false" customHeight="false" outlineLevel="0" collapsed="false">
      <c r="J930" s="10" t="n">
        <f aca="false">IF($D930="",0,IF(AND(OR(Test!$B$4="Hepsi",$B930=Test!$B$4),OR(Test!$B$5="Hepsi",$C930=Test!$B$5)),1,0))</f>
        <v>0</v>
      </c>
      <c r="K930" s="10" t="n">
        <f aca="true">IF($J930=1,RAND(),-1)</f>
        <v>-1</v>
      </c>
      <c r="L930" s="10" t="str">
        <f aca="false">IF($J930=1,RANK($K930,$K$2:$K$1001),"")</f>
        <v/>
      </c>
    </row>
    <row r="931" customFormat="false" ht="15" hidden="false" customHeight="false" outlineLevel="0" collapsed="false">
      <c r="J931" s="10" t="n">
        <f aca="false">IF($D931="",0,IF(AND(OR(Test!$B$4="Hepsi",$B931=Test!$B$4),OR(Test!$B$5="Hepsi",$C931=Test!$B$5)),1,0))</f>
        <v>0</v>
      </c>
      <c r="K931" s="10" t="n">
        <f aca="true">IF($J931=1,RAND(),-1)</f>
        <v>-1</v>
      </c>
      <c r="L931" s="10" t="str">
        <f aca="false">IF($J931=1,RANK($K931,$K$2:$K$1001),"")</f>
        <v/>
      </c>
    </row>
    <row r="932" customFormat="false" ht="15" hidden="false" customHeight="false" outlineLevel="0" collapsed="false">
      <c r="J932" s="10" t="n">
        <f aca="false">IF($D932="",0,IF(AND(OR(Test!$B$4="Hepsi",$B932=Test!$B$4),OR(Test!$B$5="Hepsi",$C932=Test!$B$5)),1,0))</f>
        <v>0</v>
      </c>
      <c r="K932" s="10" t="n">
        <f aca="true">IF($J932=1,RAND(),-1)</f>
        <v>-1</v>
      </c>
      <c r="L932" s="10" t="str">
        <f aca="false">IF($J932=1,RANK($K932,$K$2:$K$1001),"")</f>
        <v/>
      </c>
    </row>
    <row r="933" customFormat="false" ht="15" hidden="false" customHeight="false" outlineLevel="0" collapsed="false">
      <c r="J933" s="10" t="n">
        <f aca="false">IF($D933="",0,IF(AND(OR(Test!$B$4="Hepsi",$B933=Test!$B$4),OR(Test!$B$5="Hepsi",$C933=Test!$B$5)),1,0))</f>
        <v>0</v>
      </c>
      <c r="K933" s="10" t="n">
        <f aca="true">IF($J933=1,RAND(),-1)</f>
        <v>-1</v>
      </c>
      <c r="L933" s="10" t="str">
        <f aca="false">IF($J933=1,RANK($K933,$K$2:$K$1001),"")</f>
        <v/>
      </c>
    </row>
    <row r="934" customFormat="false" ht="15" hidden="false" customHeight="false" outlineLevel="0" collapsed="false">
      <c r="J934" s="10" t="n">
        <f aca="false">IF($D934="",0,IF(AND(OR(Test!$B$4="Hepsi",$B934=Test!$B$4),OR(Test!$B$5="Hepsi",$C934=Test!$B$5)),1,0))</f>
        <v>0</v>
      </c>
      <c r="K934" s="10" t="n">
        <f aca="true">IF($J934=1,RAND(),-1)</f>
        <v>-1</v>
      </c>
      <c r="L934" s="10" t="str">
        <f aca="false">IF($J934=1,RANK($K934,$K$2:$K$1001),"")</f>
        <v/>
      </c>
    </row>
    <row r="935" customFormat="false" ht="15" hidden="false" customHeight="false" outlineLevel="0" collapsed="false">
      <c r="J935" s="10" t="n">
        <f aca="false">IF($D935="",0,IF(AND(OR(Test!$B$4="Hepsi",$B935=Test!$B$4),OR(Test!$B$5="Hepsi",$C935=Test!$B$5)),1,0))</f>
        <v>0</v>
      </c>
      <c r="K935" s="10" t="n">
        <f aca="true">IF($J935=1,RAND(),-1)</f>
        <v>-1</v>
      </c>
      <c r="L935" s="10" t="str">
        <f aca="false">IF($J935=1,RANK($K935,$K$2:$K$1001),"")</f>
        <v/>
      </c>
    </row>
    <row r="936" customFormat="false" ht="15" hidden="false" customHeight="false" outlineLevel="0" collapsed="false">
      <c r="J936" s="10" t="n">
        <f aca="false">IF($D936="",0,IF(AND(OR(Test!$B$4="Hepsi",$B936=Test!$B$4),OR(Test!$B$5="Hepsi",$C936=Test!$B$5)),1,0))</f>
        <v>0</v>
      </c>
      <c r="K936" s="10" t="n">
        <f aca="true">IF($J936=1,RAND(),-1)</f>
        <v>-1</v>
      </c>
      <c r="L936" s="10" t="str">
        <f aca="false">IF($J936=1,RANK($K936,$K$2:$K$1001),"")</f>
        <v/>
      </c>
    </row>
    <row r="937" customFormat="false" ht="15" hidden="false" customHeight="false" outlineLevel="0" collapsed="false">
      <c r="J937" s="10" t="n">
        <f aca="false">IF($D937="",0,IF(AND(OR(Test!$B$4="Hepsi",$B937=Test!$B$4),OR(Test!$B$5="Hepsi",$C937=Test!$B$5)),1,0))</f>
        <v>0</v>
      </c>
      <c r="K937" s="10" t="n">
        <f aca="true">IF($J937=1,RAND(),-1)</f>
        <v>-1</v>
      </c>
      <c r="L937" s="10" t="str">
        <f aca="false">IF($J937=1,RANK($K937,$K$2:$K$1001),"")</f>
        <v/>
      </c>
    </row>
    <row r="938" customFormat="false" ht="15" hidden="false" customHeight="false" outlineLevel="0" collapsed="false">
      <c r="J938" s="10" t="n">
        <f aca="false">IF($D938="",0,IF(AND(OR(Test!$B$4="Hepsi",$B938=Test!$B$4),OR(Test!$B$5="Hepsi",$C938=Test!$B$5)),1,0))</f>
        <v>0</v>
      </c>
      <c r="K938" s="10" t="n">
        <f aca="true">IF($J938=1,RAND(),-1)</f>
        <v>-1</v>
      </c>
      <c r="L938" s="10" t="str">
        <f aca="false">IF($J938=1,RANK($K938,$K$2:$K$1001),"")</f>
        <v/>
      </c>
    </row>
    <row r="939" customFormat="false" ht="15" hidden="false" customHeight="false" outlineLevel="0" collapsed="false">
      <c r="J939" s="10" t="n">
        <f aca="false">IF($D939="",0,IF(AND(OR(Test!$B$4="Hepsi",$B939=Test!$B$4),OR(Test!$B$5="Hepsi",$C939=Test!$B$5)),1,0))</f>
        <v>0</v>
      </c>
      <c r="K939" s="10" t="n">
        <f aca="true">IF($J939=1,RAND(),-1)</f>
        <v>-1</v>
      </c>
      <c r="L939" s="10" t="str">
        <f aca="false">IF($J939=1,RANK($K939,$K$2:$K$1001),"")</f>
        <v/>
      </c>
    </row>
    <row r="940" customFormat="false" ht="15" hidden="false" customHeight="false" outlineLevel="0" collapsed="false">
      <c r="J940" s="10" t="n">
        <f aca="false">IF($D940="",0,IF(AND(OR(Test!$B$4="Hepsi",$B940=Test!$B$4),OR(Test!$B$5="Hepsi",$C940=Test!$B$5)),1,0))</f>
        <v>0</v>
      </c>
      <c r="K940" s="10" t="n">
        <f aca="true">IF($J940=1,RAND(),-1)</f>
        <v>-1</v>
      </c>
      <c r="L940" s="10" t="str">
        <f aca="false">IF($J940=1,RANK($K940,$K$2:$K$1001),"")</f>
        <v/>
      </c>
    </row>
    <row r="941" customFormat="false" ht="15" hidden="false" customHeight="false" outlineLevel="0" collapsed="false">
      <c r="J941" s="10" t="n">
        <f aca="false">IF($D941="",0,IF(AND(OR(Test!$B$4="Hepsi",$B941=Test!$B$4),OR(Test!$B$5="Hepsi",$C941=Test!$B$5)),1,0))</f>
        <v>0</v>
      </c>
      <c r="K941" s="10" t="n">
        <f aca="true">IF($J941=1,RAND(),-1)</f>
        <v>-1</v>
      </c>
      <c r="L941" s="10" t="str">
        <f aca="false">IF($J941=1,RANK($K941,$K$2:$K$1001),"")</f>
        <v/>
      </c>
    </row>
    <row r="942" customFormat="false" ht="15" hidden="false" customHeight="false" outlineLevel="0" collapsed="false">
      <c r="J942" s="10" t="n">
        <f aca="false">IF($D942="",0,IF(AND(OR(Test!$B$4="Hepsi",$B942=Test!$B$4),OR(Test!$B$5="Hepsi",$C942=Test!$B$5)),1,0))</f>
        <v>0</v>
      </c>
      <c r="K942" s="10" t="n">
        <f aca="true">IF($J942=1,RAND(),-1)</f>
        <v>-1</v>
      </c>
      <c r="L942" s="10" t="str">
        <f aca="false">IF($J942=1,RANK($K942,$K$2:$K$1001),"")</f>
        <v/>
      </c>
    </row>
    <row r="943" customFormat="false" ht="15" hidden="false" customHeight="false" outlineLevel="0" collapsed="false">
      <c r="J943" s="10" t="n">
        <f aca="false">IF($D943="",0,IF(AND(OR(Test!$B$4="Hepsi",$B943=Test!$B$4),OR(Test!$B$5="Hepsi",$C943=Test!$B$5)),1,0))</f>
        <v>0</v>
      </c>
      <c r="K943" s="10" t="n">
        <f aca="true">IF($J943=1,RAND(),-1)</f>
        <v>-1</v>
      </c>
      <c r="L943" s="10" t="str">
        <f aca="false">IF($J943=1,RANK($K943,$K$2:$K$1001),"")</f>
        <v/>
      </c>
    </row>
    <row r="944" customFormat="false" ht="15" hidden="false" customHeight="false" outlineLevel="0" collapsed="false">
      <c r="J944" s="10" t="n">
        <f aca="false">IF($D944="",0,IF(AND(OR(Test!$B$4="Hepsi",$B944=Test!$B$4),OR(Test!$B$5="Hepsi",$C944=Test!$B$5)),1,0))</f>
        <v>0</v>
      </c>
      <c r="K944" s="10" t="n">
        <f aca="true">IF($J944=1,RAND(),-1)</f>
        <v>-1</v>
      </c>
      <c r="L944" s="10" t="str">
        <f aca="false">IF($J944=1,RANK($K944,$K$2:$K$1001),"")</f>
        <v/>
      </c>
    </row>
    <row r="945" customFormat="false" ht="15" hidden="false" customHeight="false" outlineLevel="0" collapsed="false">
      <c r="J945" s="10" t="n">
        <f aca="false">IF($D945="",0,IF(AND(OR(Test!$B$4="Hepsi",$B945=Test!$B$4),OR(Test!$B$5="Hepsi",$C945=Test!$B$5)),1,0))</f>
        <v>0</v>
      </c>
      <c r="K945" s="10" t="n">
        <f aca="true">IF($J945=1,RAND(),-1)</f>
        <v>-1</v>
      </c>
      <c r="L945" s="10" t="str">
        <f aca="false">IF($J945=1,RANK($K945,$K$2:$K$1001),"")</f>
        <v/>
      </c>
    </row>
    <row r="946" customFormat="false" ht="15" hidden="false" customHeight="false" outlineLevel="0" collapsed="false">
      <c r="J946" s="10" t="n">
        <f aca="false">IF($D946="",0,IF(AND(OR(Test!$B$4="Hepsi",$B946=Test!$B$4),OR(Test!$B$5="Hepsi",$C946=Test!$B$5)),1,0))</f>
        <v>0</v>
      </c>
      <c r="K946" s="10" t="n">
        <f aca="true">IF($J946=1,RAND(),-1)</f>
        <v>-1</v>
      </c>
      <c r="L946" s="10" t="str">
        <f aca="false">IF($J946=1,RANK($K946,$K$2:$K$1001),"")</f>
        <v/>
      </c>
    </row>
    <row r="947" customFormat="false" ht="15" hidden="false" customHeight="false" outlineLevel="0" collapsed="false">
      <c r="J947" s="10" t="n">
        <f aca="false">IF($D947="",0,IF(AND(OR(Test!$B$4="Hepsi",$B947=Test!$B$4),OR(Test!$B$5="Hepsi",$C947=Test!$B$5)),1,0))</f>
        <v>0</v>
      </c>
      <c r="K947" s="10" t="n">
        <f aca="true">IF($J947=1,RAND(),-1)</f>
        <v>-1</v>
      </c>
      <c r="L947" s="10" t="str">
        <f aca="false">IF($J947=1,RANK($K947,$K$2:$K$1001),"")</f>
        <v/>
      </c>
    </row>
    <row r="948" customFormat="false" ht="15" hidden="false" customHeight="false" outlineLevel="0" collapsed="false">
      <c r="J948" s="10" t="n">
        <f aca="false">IF($D948="",0,IF(AND(OR(Test!$B$4="Hepsi",$B948=Test!$B$4),OR(Test!$B$5="Hepsi",$C948=Test!$B$5)),1,0))</f>
        <v>0</v>
      </c>
      <c r="K948" s="10" t="n">
        <f aca="true">IF($J948=1,RAND(),-1)</f>
        <v>-1</v>
      </c>
      <c r="L948" s="10" t="str">
        <f aca="false">IF($J948=1,RANK($K948,$K$2:$K$1001),"")</f>
        <v/>
      </c>
    </row>
    <row r="949" customFormat="false" ht="15" hidden="false" customHeight="false" outlineLevel="0" collapsed="false">
      <c r="J949" s="10" t="n">
        <f aca="false">IF($D949="",0,IF(AND(OR(Test!$B$4="Hepsi",$B949=Test!$B$4),OR(Test!$B$5="Hepsi",$C949=Test!$B$5)),1,0))</f>
        <v>0</v>
      </c>
      <c r="K949" s="10" t="n">
        <f aca="true">IF($J949=1,RAND(),-1)</f>
        <v>-1</v>
      </c>
      <c r="L949" s="10" t="str">
        <f aca="false">IF($J949=1,RANK($K949,$K$2:$K$1001),"")</f>
        <v/>
      </c>
    </row>
    <row r="950" customFormat="false" ht="15" hidden="false" customHeight="false" outlineLevel="0" collapsed="false">
      <c r="J950" s="10" t="n">
        <f aca="false">IF($D950="",0,IF(AND(OR(Test!$B$4="Hepsi",$B950=Test!$B$4),OR(Test!$B$5="Hepsi",$C950=Test!$B$5)),1,0))</f>
        <v>0</v>
      </c>
      <c r="K950" s="10" t="n">
        <f aca="true">IF($J950=1,RAND(),-1)</f>
        <v>-1</v>
      </c>
      <c r="L950" s="10" t="str">
        <f aca="false">IF($J950=1,RANK($K950,$K$2:$K$1001),"")</f>
        <v/>
      </c>
    </row>
    <row r="951" customFormat="false" ht="15" hidden="false" customHeight="false" outlineLevel="0" collapsed="false">
      <c r="J951" s="10" t="n">
        <f aca="false">IF($D951="",0,IF(AND(OR(Test!$B$4="Hepsi",$B951=Test!$B$4),OR(Test!$B$5="Hepsi",$C951=Test!$B$5)),1,0))</f>
        <v>0</v>
      </c>
      <c r="K951" s="10" t="n">
        <f aca="true">IF($J951=1,RAND(),-1)</f>
        <v>-1</v>
      </c>
      <c r="L951" s="10" t="str">
        <f aca="false">IF($J951=1,RANK($K951,$K$2:$K$1001),"")</f>
        <v/>
      </c>
    </row>
    <row r="952" customFormat="false" ht="15" hidden="false" customHeight="false" outlineLevel="0" collapsed="false">
      <c r="J952" s="10" t="n">
        <f aca="false">IF($D952="",0,IF(AND(OR(Test!$B$4="Hepsi",$B952=Test!$B$4),OR(Test!$B$5="Hepsi",$C952=Test!$B$5)),1,0))</f>
        <v>0</v>
      </c>
      <c r="K952" s="10" t="n">
        <f aca="true">IF($J952=1,RAND(),-1)</f>
        <v>-1</v>
      </c>
      <c r="L952" s="10" t="str">
        <f aca="false">IF($J952=1,RANK($K952,$K$2:$K$1001),"")</f>
        <v/>
      </c>
    </row>
    <row r="953" customFormat="false" ht="15" hidden="false" customHeight="false" outlineLevel="0" collapsed="false">
      <c r="J953" s="10" t="n">
        <f aca="false">IF($D953="",0,IF(AND(OR(Test!$B$4="Hepsi",$B953=Test!$B$4),OR(Test!$B$5="Hepsi",$C953=Test!$B$5)),1,0))</f>
        <v>0</v>
      </c>
      <c r="K953" s="10" t="n">
        <f aca="true">IF($J953=1,RAND(),-1)</f>
        <v>-1</v>
      </c>
      <c r="L953" s="10" t="str">
        <f aca="false">IF($J953=1,RANK($K953,$K$2:$K$1001),"")</f>
        <v/>
      </c>
    </row>
    <row r="954" customFormat="false" ht="15" hidden="false" customHeight="false" outlineLevel="0" collapsed="false">
      <c r="J954" s="10" t="n">
        <f aca="false">IF($D954="",0,IF(AND(OR(Test!$B$4="Hepsi",$B954=Test!$B$4),OR(Test!$B$5="Hepsi",$C954=Test!$B$5)),1,0))</f>
        <v>0</v>
      </c>
      <c r="K954" s="10" t="n">
        <f aca="true">IF($J954=1,RAND(),-1)</f>
        <v>-1</v>
      </c>
      <c r="L954" s="10" t="str">
        <f aca="false">IF($J954=1,RANK($K954,$K$2:$K$1001),"")</f>
        <v/>
      </c>
    </row>
    <row r="955" customFormat="false" ht="15" hidden="false" customHeight="false" outlineLevel="0" collapsed="false">
      <c r="J955" s="10" t="n">
        <f aca="false">IF($D955="",0,IF(AND(OR(Test!$B$4="Hepsi",$B955=Test!$B$4),OR(Test!$B$5="Hepsi",$C955=Test!$B$5)),1,0))</f>
        <v>0</v>
      </c>
      <c r="K955" s="10" t="n">
        <f aca="true">IF($J955=1,RAND(),-1)</f>
        <v>-1</v>
      </c>
      <c r="L955" s="10" t="str">
        <f aca="false">IF($J955=1,RANK($K955,$K$2:$K$1001),"")</f>
        <v/>
      </c>
    </row>
    <row r="956" customFormat="false" ht="15" hidden="false" customHeight="false" outlineLevel="0" collapsed="false">
      <c r="J956" s="10" t="n">
        <f aca="false">IF($D956="",0,IF(AND(OR(Test!$B$4="Hepsi",$B956=Test!$B$4),OR(Test!$B$5="Hepsi",$C956=Test!$B$5)),1,0))</f>
        <v>0</v>
      </c>
      <c r="K956" s="10" t="n">
        <f aca="true">IF($J956=1,RAND(),-1)</f>
        <v>-1</v>
      </c>
      <c r="L956" s="10" t="str">
        <f aca="false">IF($J956=1,RANK($K956,$K$2:$K$1001),"")</f>
        <v/>
      </c>
    </row>
    <row r="957" customFormat="false" ht="15" hidden="false" customHeight="false" outlineLevel="0" collapsed="false">
      <c r="J957" s="10" t="n">
        <f aca="false">IF($D957="",0,IF(AND(OR(Test!$B$4="Hepsi",$B957=Test!$B$4),OR(Test!$B$5="Hepsi",$C957=Test!$B$5)),1,0))</f>
        <v>0</v>
      </c>
      <c r="K957" s="10" t="n">
        <f aca="true">IF($J957=1,RAND(),-1)</f>
        <v>-1</v>
      </c>
      <c r="L957" s="10" t="str">
        <f aca="false">IF($J957=1,RANK($K957,$K$2:$K$1001),"")</f>
        <v/>
      </c>
    </row>
    <row r="958" customFormat="false" ht="15" hidden="false" customHeight="false" outlineLevel="0" collapsed="false">
      <c r="J958" s="10" t="n">
        <f aca="false">IF($D958="",0,IF(AND(OR(Test!$B$4="Hepsi",$B958=Test!$B$4),OR(Test!$B$5="Hepsi",$C958=Test!$B$5)),1,0))</f>
        <v>0</v>
      </c>
      <c r="K958" s="10" t="n">
        <f aca="true">IF($J958=1,RAND(),-1)</f>
        <v>-1</v>
      </c>
      <c r="L958" s="10" t="str">
        <f aca="false">IF($J958=1,RANK($K958,$K$2:$K$1001),"")</f>
        <v/>
      </c>
    </row>
    <row r="959" customFormat="false" ht="15" hidden="false" customHeight="false" outlineLevel="0" collapsed="false">
      <c r="J959" s="10" t="n">
        <f aca="false">IF($D959="",0,IF(AND(OR(Test!$B$4="Hepsi",$B959=Test!$B$4),OR(Test!$B$5="Hepsi",$C959=Test!$B$5)),1,0))</f>
        <v>0</v>
      </c>
      <c r="K959" s="10" t="n">
        <f aca="true">IF($J959=1,RAND(),-1)</f>
        <v>-1</v>
      </c>
      <c r="L959" s="10" t="str">
        <f aca="false">IF($J959=1,RANK($K959,$K$2:$K$1001),"")</f>
        <v/>
      </c>
    </row>
    <row r="960" customFormat="false" ht="15" hidden="false" customHeight="false" outlineLevel="0" collapsed="false">
      <c r="J960" s="10" t="n">
        <f aca="false">IF($D960="",0,IF(AND(OR(Test!$B$4="Hepsi",$B960=Test!$B$4),OR(Test!$B$5="Hepsi",$C960=Test!$B$5)),1,0))</f>
        <v>0</v>
      </c>
      <c r="K960" s="10" t="n">
        <f aca="true">IF($J960=1,RAND(),-1)</f>
        <v>-1</v>
      </c>
      <c r="L960" s="10" t="str">
        <f aca="false">IF($J960=1,RANK($K960,$K$2:$K$1001),"")</f>
        <v/>
      </c>
    </row>
    <row r="961" customFormat="false" ht="15" hidden="false" customHeight="false" outlineLevel="0" collapsed="false">
      <c r="J961" s="10" t="n">
        <f aca="false">IF($D961="",0,IF(AND(OR(Test!$B$4="Hepsi",$B961=Test!$B$4),OR(Test!$B$5="Hepsi",$C961=Test!$B$5)),1,0))</f>
        <v>0</v>
      </c>
      <c r="K961" s="10" t="n">
        <f aca="true">IF($J961=1,RAND(),-1)</f>
        <v>-1</v>
      </c>
      <c r="L961" s="10" t="str">
        <f aca="false">IF($J961=1,RANK($K961,$K$2:$K$1001),"")</f>
        <v/>
      </c>
    </row>
    <row r="962" customFormat="false" ht="15" hidden="false" customHeight="false" outlineLevel="0" collapsed="false">
      <c r="J962" s="10" t="n">
        <f aca="false">IF($D962="",0,IF(AND(OR(Test!$B$4="Hepsi",$B962=Test!$B$4),OR(Test!$B$5="Hepsi",$C962=Test!$B$5)),1,0))</f>
        <v>0</v>
      </c>
      <c r="K962" s="10" t="n">
        <f aca="true">IF($J962=1,RAND(),-1)</f>
        <v>-1</v>
      </c>
      <c r="L962" s="10" t="str">
        <f aca="false">IF($J962=1,RANK($K962,$K$2:$K$1001),"")</f>
        <v/>
      </c>
    </row>
    <row r="963" customFormat="false" ht="15" hidden="false" customHeight="false" outlineLevel="0" collapsed="false">
      <c r="J963" s="10" t="n">
        <f aca="false">IF($D963="",0,IF(AND(OR(Test!$B$4="Hepsi",$B963=Test!$B$4),OR(Test!$B$5="Hepsi",$C963=Test!$B$5)),1,0))</f>
        <v>0</v>
      </c>
      <c r="K963" s="10" t="n">
        <f aca="true">IF($J963=1,RAND(),-1)</f>
        <v>-1</v>
      </c>
      <c r="L963" s="10" t="str">
        <f aca="false">IF($J963=1,RANK($K963,$K$2:$K$1001),"")</f>
        <v/>
      </c>
    </row>
    <row r="964" customFormat="false" ht="15" hidden="false" customHeight="false" outlineLevel="0" collapsed="false">
      <c r="J964" s="10" t="n">
        <f aca="false">IF($D964="",0,IF(AND(OR(Test!$B$4="Hepsi",$B964=Test!$B$4),OR(Test!$B$5="Hepsi",$C964=Test!$B$5)),1,0))</f>
        <v>0</v>
      </c>
      <c r="K964" s="10" t="n">
        <f aca="true">IF($J964=1,RAND(),-1)</f>
        <v>-1</v>
      </c>
      <c r="L964" s="10" t="str">
        <f aca="false">IF($J964=1,RANK($K964,$K$2:$K$1001),"")</f>
        <v/>
      </c>
    </row>
    <row r="965" customFormat="false" ht="15" hidden="false" customHeight="false" outlineLevel="0" collapsed="false">
      <c r="J965" s="10" t="n">
        <f aca="false">IF($D965="",0,IF(AND(OR(Test!$B$4="Hepsi",$B965=Test!$B$4),OR(Test!$B$5="Hepsi",$C965=Test!$B$5)),1,0))</f>
        <v>0</v>
      </c>
      <c r="K965" s="10" t="n">
        <f aca="true">IF($J965=1,RAND(),-1)</f>
        <v>-1</v>
      </c>
      <c r="L965" s="10" t="str">
        <f aca="false">IF($J965=1,RANK($K965,$K$2:$K$1001),"")</f>
        <v/>
      </c>
    </row>
    <row r="966" customFormat="false" ht="15" hidden="false" customHeight="false" outlineLevel="0" collapsed="false">
      <c r="J966" s="10" t="n">
        <f aca="false">IF($D966="",0,IF(AND(OR(Test!$B$4="Hepsi",$B966=Test!$B$4),OR(Test!$B$5="Hepsi",$C966=Test!$B$5)),1,0))</f>
        <v>0</v>
      </c>
      <c r="K966" s="10" t="n">
        <f aca="true">IF($J966=1,RAND(),-1)</f>
        <v>-1</v>
      </c>
      <c r="L966" s="10" t="str">
        <f aca="false">IF($J966=1,RANK($K966,$K$2:$K$1001),"")</f>
        <v/>
      </c>
    </row>
    <row r="967" customFormat="false" ht="15" hidden="false" customHeight="false" outlineLevel="0" collapsed="false">
      <c r="J967" s="10" t="n">
        <f aca="false">IF($D967="",0,IF(AND(OR(Test!$B$4="Hepsi",$B967=Test!$B$4),OR(Test!$B$5="Hepsi",$C967=Test!$B$5)),1,0))</f>
        <v>0</v>
      </c>
      <c r="K967" s="10" t="n">
        <f aca="true">IF($J967=1,RAND(),-1)</f>
        <v>-1</v>
      </c>
      <c r="L967" s="10" t="str">
        <f aca="false">IF($J967=1,RANK($K967,$K$2:$K$1001),"")</f>
        <v/>
      </c>
    </row>
    <row r="968" customFormat="false" ht="15" hidden="false" customHeight="false" outlineLevel="0" collapsed="false">
      <c r="J968" s="10" t="n">
        <f aca="false">IF($D968="",0,IF(AND(OR(Test!$B$4="Hepsi",$B968=Test!$B$4),OR(Test!$B$5="Hepsi",$C968=Test!$B$5)),1,0))</f>
        <v>0</v>
      </c>
      <c r="K968" s="10" t="n">
        <f aca="true">IF($J968=1,RAND(),-1)</f>
        <v>-1</v>
      </c>
      <c r="L968" s="10" t="str">
        <f aca="false">IF($J968=1,RANK($K968,$K$2:$K$1001),"")</f>
        <v/>
      </c>
    </row>
    <row r="969" customFormat="false" ht="15" hidden="false" customHeight="false" outlineLevel="0" collapsed="false">
      <c r="J969" s="10" t="n">
        <f aca="false">IF($D969="",0,IF(AND(OR(Test!$B$4="Hepsi",$B969=Test!$B$4),OR(Test!$B$5="Hepsi",$C969=Test!$B$5)),1,0))</f>
        <v>0</v>
      </c>
      <c r="K969" s="10" t="n">
        <f aca="true">IF($J969=1,RAND(),-1)</f>
        <v>-1</v>
      </c>
      <c r="L969" s="10" t="str">
        <f aca="false">IF($J969=1,RANK($K969,$K$2:$K$1001),"")</f>
        <v/>
      </c>
    </row>
    <row r="970" customFormat="false" ht="15" hidden="false" customHeight="false" outlineLevel="0" collapsed="false">
      <c r="J970" s="10" t="n">
        <f aca="false">IF($D970="",0,IF(AND(OR(Test!$B$4="Hepsi",$B970=Test!$B$4),OR(Test!$B$5="Hepsi",$C970=Test!$B$5)),1,0))</f>
        <v>0</v>
      </c>
      <c r="K970" s="10" t="n">
        <f aca="true">IF($J970=1,RAND(),-1)</f>
        <v>-1</v>
      </c>
      <c r="L970" s="10" t="str">
        <f aca="false">IF($J970=1,RANK($K970,$K$2:$K$1001),"")</f>
        <v/>
      </c>
    </row>
    <row r="971" customFormat="false" ht="15" hidden="false" customHeight="false" outlineLevel="0" collapsed="false">
      <c r="J971" s="10" t="n">
        <f aca="false">IF($D971="",0,IF(AND(OR(Test!$B$4="Hepsi",$B971=Test!$B$4),OR(Test!$B$5="Hepsi",$C971=Test!$B$5)),1,0))</f>
        <v>0</v>
      </c>
      <c r="K971" s="10" t="n">
        <f aca="true">IF($J971=1,RAND(),-1)</f>
        <v>-1</v>
      </c>
      <c r="L971" s="10" t="str">
        <f aca="false">IF($J971=1,RANK($K971,$K$2:$K$1001),"")</f>
        <v/>
      </c>
    </row>
    <row r="972" customFormat="false" ht="15" hidden="false" customHeight="false" outlineLevel="0" collapsed="false">
      <c r="J972" s="10" t="n">
        <f aca="false">IF($D972="",0,IF(AND(OR(Test!$B$4="Hepsi",$B972=Test!$B$4),OR(Test!$B$5="Hepsi",$C972=Test!$B$5)),1,0))</f>
        <v>0</v>
      </c>
      <c r="K972" s="10" t="n">
        <f aca="true">IF($J972=1,RAND(),-1)</f>
        <v>-1</v>
      </c>
      <c r="L972" s="10" t="str">
        <f aca="false">IF($J972=1,RANK($K972,$K$2:$K$1001),"")</f>
        <v/>
      </c>
    </row>
    <row r="973" customFormat="false" ht="15" hidden="false" customHeight="false" outlineLevel="0" collapsed="false">
      <c r="J973" s="10" t="n">
        <f aca="false">IF($D973="",0,IF(AND(OR(Test!$B$4="Hepsi",$B973=Test!$B$4),OR(Test!$B$5="Hepsi",$C973=Test!$B$5)),1,0))</f>
        <v>0</v>
      </c>
      <c r="K973" s="10" t="n">
        <f aca="true">IF($J973=1,RAND(),-1)</f>
        <v>-1</v>
      </c>
      <c r="L973" s="10" t="str">
        <f aca="false">IF($J973=1,RANK($K973,$K$2:$K$1001),"")</f>
        <v/>
      </c>
    </row>
    <row r="974" customFormat="false" ht="15" hidden="false" customHeight="false" outlineLevel="0" collapsed="false">
      <c r="J974" s="10" t="n">
        <f aca="false">IF($D974="",0,IF(AND(OR(Test!$B$4="Hepsi",$B974=Test!$B$4),OR(Test!$B$5="Hepsi",$C974=Test!$B$5)),1,0))</f>
        <v>0</v>
      </c>
      <c r="K974" s="10" t="n">
        <f aca="true">IF($J974=1,RAND(),-1)</f>
        <v>-1</v>
      </c>
      <c r="L974" s="10" t="str">
        <f aca="false">IF($J974=1,RANK($K974,$K$2:$K$1001),"")</f>
        <v/>
      </c>
    </row>
    <row r="975" customFormat="false" ht="15" hidden="false" customHeight="false" outlineLevel="0" collapsed="false">
      <c r="J975" s="10" t="n">
        <f aca="false">IF($D975="",0,IF(AND(OR(Test!$B$4="Hepsi",$B975=Test!$B$4),OR(Test!$B$5="Hepsi",$C975=Test!$B$5)),1,0))</f>
        <v>0</v>
      </c>
      <c r="K975" s="10" t="n">
        <f aca="true">IF($J975=1,RAND(),-1)</f>
        <v>-1</v>
      </c>
      <c r="L975" s="10" t="str">
        <f aca="false">IF($J975=1,RANK($K975,$K$2:$K$1001),"")</f>
        <v/>
      </c>
    </row>
    <row r="976" customFormat="false" ht="15" hidden="false" customHeight="false" outlineLevel="0" collapsed="false">
      <c r="J976" s="10" t="n">
        <f aca="false">IF($D976="",0,IF(AND(OR(Test!$B$4="Hepsi",$B976=Test!$B$4),OR(Test!$B$5="Hepsi",$C976=Test!$B$5)),1,0))</f>
        <v>0</v>
      </c>
      <c r="K976" s="10" t="n">
        <f aca="true">IF($J976=1,RAND(),-1)</f>
        <v>-1</v>
      </c>
      <c r="L976" s="10" t="str">
        <f aca="false">IF($J976=1,RANK($K976,$K$2:$K$1001),"")</f>
        <v/>
      </c>
    </row>
    <row r="977" customFormat="false" ht="15" hidden="false" customHeight="false" outlineLevel="0" collapsed="false">
      <c r="J977" s="10" t="n">
        <f aca="false">IF($D977="",0,IF(AND(OR(Test!$B$4="Hepsi",$B977=Test!$B$4),OR(Test!$B$5="Hepsi",$C977=Test!$B$5)),1,0))</f>
        <v>0</v>
      </c>
      <c r="K977" s="10" t="n">
        <f aca="true">IF($J977=1,RAND(),-1)</f>
        <v>-1</v>
      </c>
      <c r="L977" s="10" t="str">
        <f aca="false">IF($J977=1,RANK($K977,$K$2:$K$1001),"")</f>
        <v/>
      </c>
    </row>
    <row r="978" customFormat="false" ht="15" hidden="false" customHeight="false" outlineLevel="0" collapsed="false">
      <c r="J978" s="10" t="n">
        <f aca="false">IF($D978="",0,IF(AND(OR(Test!$B$4="Hepsi",$B978=Test!$B$4),OR(Test!$B$5="Hepsi",$C978=Test!$B$5)),1,0))</f>
        <v>0</v>
      </c>
      <c r="K978" s="10" t="n">
        <f aca="true">IF($J978=1,RAND(),-1)</f>
        <v>-1</v>
      </c>
      <c r="L978" s="10" t="str">
        <f aca="false">IF($J978=1,RANK($K978,$K$2:$K$1001),"")</f>
        <v/>
      </c>
    </row>
    <row r="979" customFormat="false" ht="15" hidden="false" customHeight="false" outlineLevel="0" collapsed="false">
      <c r="J979" s="10" t="n">
        <f aca="false">IF($D979="",0,IF(AND(OR(Test!$B$4="Hepsi",$B979=Test!$B$4),OR(Test!$B$5="Hepsi",$C979=Test!$B$5)),1,0))</f>
        <v>0</v>
      </c>
      <c r="K979" s="10" t="n">
        <f aca="true">IF($J979=1,RAND(),-1)</f>
        <v>-1</v>
      </c>
      <c r="L979" s="10" t="str">
        <f aca="false">IF($J979=1,RANK($K979,$K$2:$K$1001),"")</f>
        <v/>
      </c>
    </row>
    <row r="980" customFormat="false" ht="15" hidden="false" customHeight="false" outlineLevel="0" collapsed="false">
      <c r="J980" s="10" t="n">
        <f aca="false">IF($D980="",0,IF(AND(OR(Test!$B$4="Hepsi",$B980=Test!$B$4),OR(Test!$B$5="Hepsi",$C980=Test!$B$5)),1,0))</f>
        <v>0</v>
      </c>
      <c r="K980" s="10" t="n">
        <f aca="true">IF($J980=1,RAND(),-1)</f>
        <v>-1</v>
      </c>
      <c r="L980" s="10" t="str">
        <f aca="false">IF($J980=1,RANK($K980,$K$2:$K$1001),"")</f>
        <v/>
      </c>
    </row>
    <row r="981" customFormat="false" ht="15" hidden="false" customHeight="false" outlineLevel="0" collapsed="false">
      <c r="J981" s="10" t="n">
        <f aca="false">IF($D981="",0,IF(AND(OR(Test!$B$4="Hepsi",$B981=Test!$B$4),OR(Test!$B$5="Hepsi",$C981=Test!$B$5)),1,0))</f>
        <v>0</v>
      </c>
      <c r="K981" s="10" t="n">
        <f aca="true">IF($J981=1,RAND(),-1)</f>
        <v>-1</v>
      </c>
      <c r="L981" s="10" t="str">
        <f aca="false">IF($J981=1,RANK($K981,$K$2:$K$1001),"")</f>
        <v/>
      </c>
    </row>
    <row r="982" customFormat="false" ht="15" hidden="false" customHeight="false" outlineLevel="0" collapsed="false">
      <c r="J982" s="10" t="n">
        <f aca="false">IF($D982="",0,IF(AND(OR(Test!$B$4="Hepsi",$B982=Test!$B$4),OR(Test!$B$5="Hepsi",$C982=Test!$B$5)),1,0))</f>
        <v>0</v>
      </c>
      <c r="K982" s="10" t="n">
        <f aca="true">IF($J982=1,RAND(),-1)</f>
        <v>-1</v>
      </c>
      <c r="L982" s="10" t="str">
        <f aca="false">IF($J982=1,RANK($K982,$K$2:$K$1001),"")</f>
        <v/>
      </c>
    </row>
    <row r="983" customFormat="false" ht="15" hidden="false" customHeight="false" outlineLevel="0" collapsed="false">
      <c r="J983" s="10" t="n">
        <f aca="false">IF($D983="",0,IF(AND(OR(Test!$B$4="Hepsi",$B983=Test!$B$4),OR(Test!$B$5="Hepsi",$C983=Test!$B$5)),1,0))</f>
        <v>0</v>
      </c>
      <c r="K983" s="10" t="n">
        <f aca="true">IF($J983=1,RAND(),-1)</f>
        <v>-1</v>
      </c>
      <c r="L983" s="10" t="str">
        <f aca="false">IF($J983=1,RANK($K983,$K$2:$K$1001),"")</f>
        <v/>
      </c>
    </row>
    <row r="984" customFormat="false" ht="15" hidden="false" customHeight="false" outlineLevel="0" collapsed="false">
      <c r="J984" s="10" t="n">
        <f aca="false">IF($D984="",0,IF(AND(OR(Test!$B$4="Hepsi",$B984=Test!$B$4),OR(Test!$B$5="Hepsi",$C984=Test!$B$5)),1,0))</f>
        <v>0</v>
      </c>
      <c r="K984" s="10" t="n">
        <f aca="true">IF($J984=1,RAND(),-1)</f>
        <v>-1</v>
      </c>
      <c r="L984" s="10" t="str">
        <f aca="false">IF($J984=1,RANK($K984,$K$2:$K$1001),"")</f>
        <v/>
      </c>
    </row>
    <row r="985" customFormat="false" ht="15" hidden="false" customHeight="false" outlineLevel="0" collapsed="false">
      <c r="J985" s="10" t="n">
        <f aca="false">IF($D985="",0,IF(AND(OR(Test!$B$4="Hepsi",$B985=Test!$B$4),OR(Test!$B$5="Hepsi",$C985=Test!$B$5)),1,0))</f>
        <v>0</v>
      </c>
      <c r="K985" s="10" t="n">
        <f aca="true">IF($J985=1,RAND(),-1)</f>
        <v>-1</v>
      </c>
      <c r="L985" s="10" t="str">
        <f aca="false">IF($J985=1,RANK($K985,$K$2:$K$1001),"")</f>
        <v/>
      </c>
    </row>
    <row r="986" customFormat="false" ht="15" hidden="false" customHeight="false" outlineLevel="0" collapsed="false">
      <c r="J986" s="10" t="n">
        <f aca="false">IF($D986="",0,IF(AND(OR(Test!$B$4="Hepsi",$B986=Test!$B$4),OR(Test!$B$5="Hepsi",$C986=Test!$B$5)),1,0))</f>
        <v>0</v>
      </c>
      <c r="K986" s="10" t="n">
        <f aca="true">IF($J986=1,RAND(),-1)</f>
        <v>-1</v>
      </c>
      <c r="L986" s="10" t="str">
        <f aca="false">IF($J986=1,RANK($K986,$K$2:$K$1001),"")</f>
        <v/>
      </c>
    </row>
    <row r="987" customFormat="false" ht="15" hidden="false" customHeight="false" outlineLevel="0" collapsed="false">
      <c r="J987" s="10" t="n">
        <f aca="false">IF($D987="",0,IF(AND(OR(Test!$B$4="Hepsi",$B987=Test!$B$4),OR(Test!$B$5="Hepsi",$C987=Test!$B$5)),1,0))</f>
        <v>0</v>
      </c>
      <c r="K987" s="10" t="n">
        <f aca="true">IF($J987=1,RAND(),-1)</f>
        <v>-1</v>
      </c>
      <c r="L987" s="10" t="str">
        <f aca="false">IF($J987=1,RANK($K987,$K$2:$K$1001),"")</f>
        <v/>
      </c>
    </row>
    <row r="988" customFormat="false" ht="15" hidden="false" customHeight="false" outlineLevel="0" collapsed="false">
      <c r="J988" s="10" t="n">
        <f aca="false">IF($D988="",0,IF(AND(OR(Test!$B$4="Hepsi",$B988=Test!$B$4),OR(Test!$B$5="Hepsi",$C988=Test!$B$5)),1,0))</f>
        <v>0</v>
      </c>
      <c r="K988" s="10" t="n">
        <f aca="true">IF($J988=1,RAND(),-1)</f>
        <v>-1</v>
      </c>
      <c r="L988" s="10" t="str">
        <f aca="false">IF($J988=1,RANK($K988,$K$2:$K$1001),"")</f>
        <v/>
      </c>
    </row>
    <row r="989" customFormat="false" ht="15" hidden="false" customHeight="false" outlineLevel="0" collapsed="false">
      <c r="J989" s="10" t="n">
        <f aca="false">IF($D989="",0,IF(AND(OR(Test!$B$4="Hepsi",$B989=Test!$B$4),OR(Test!$B$5="Hepsi",$C989=Test!$B$5)),1,0))</f>
        <v>0</v>
      </c>
      <c r="K989" s="10" t="n">
        <f aca="true">IF($J989=1,RAND(),-1)</f>
        <v>-1</v>
      </c>
      <c r="L989" s="10" t="str">
        <f aca="false">IF($J989=1,RANK($K989,$K$2:$K$1001),"")</f>
        <v/>
      </c>
    </row>
    <row r="990" customFormat="false" ht="15" hidden="false" customHeight="false" outlineLevel="0" collapsed="false">
      <c r="J990" s="10" t="n">
        <f aca="false">IF($D990="",0,IF(AND(OR(Test!$B$4="Hepsi",$B990=Test!$B$4),OR(Test!$B$5="Hepsi",$C990=Test!$B$5)),1,0))</f>
        <v>0</v>
      </c>
      <c r="K990" s="10" t="n">
        <f aca="true">IF($J990=1,RAND(),-1)</f>
        <v>-1</v>
      </c>
      <c r="L990" s="10" t="str">
        <f aca="false">IF($J990=1,RANK($K990,$K$2:$K$1001),"")</f>
        <v/>
      </c>
    </row>
    <row r="991" customFormat="false" ht="15" hidden="false" customHeight="false" outlineLevel="0" collapsed="false">
      <c r="J991" s="10" t="n">
        <f aca="false">IF($D991="",0,IF(AND(OR(Test!$B$4="Hepsi",$B991=Test!$B$4),OR(Test!$B$5="Hepsi",$C991=Test!$B$5)),1,0))</f>
        <v>0</v>
      </c>
      <c r="K991" s="10" t="n">
        <f aca="true">IF($J991=1,RAND(),-1)</f>
        <v>-1</v>
      </c>
      <c r="L991" s="10" t="str">
        <f aca="false">IF($J991=1,RANK($K991,$K$2:$K$1001),"")</f>
        <v/>
      </c>
    </row>
    <row r="992" customFormat="false" ht="15" hidden="false" customHeight="false" outlineLevel="0" collapsed="false">
      <c r="J992" s="10" t="n">
        <f aca="false">IF($D992="",0,IF(AND(OR(Test!$B$4="Hepsi",$B992=Test!$B$4),OR(Test!$B$5="Hepsi",$C992=Test!$B$5)),1,0))</f>
        <v>0</v>
      </c>
      <c r="K992" s="10" t="n">
        <f aca="true">IF($J992=1,RAND(),-1)</f>
        <v>-1</v>
      </c>
      <c r="L992" s="10" t="str">
        <f aca="false">IF($J992=1,RANK($K992,$K$2:$K$1001),"")</f>
        <v/>
      </c>
    </row>
    <row r="993" customFormat="false" ht="15" hidden="false" customHeight="false" outlineLevel="0" collapsed="false">
      <c r="J993" s="10" t="n">
        <f aca="false">IF($D993="",0,IF(AND(OR(Test!$B$4="Hepsi",$B993=Test!$B$4),OR(Test!$B$5="Hepsi",$C993=Test!$B$5)),1,0))</f>
        <v>0</v>
      </c>
      <c r="K993" s="10" t="n">
        <f aca="true">IF($J993=1,RAND(),-1)</f>
        <v>-1</v>
      </c>
      <c r="L993" s="10" t="str">
        <f aca="false">IF($J993=1,RANK($K993,$K$2:$K$1001),"")</f>
        <v/>
      </c>
    </row>
    <row r="994" customFormat="false" ht="15" hidden="false" customHeight="false" outlineLevel="0" collapsed="false">
      <c r="J994" s="10" t="n">
        <f aca="false">IF($D994="",0,IF(AND(OR(Test!$B$4="Hepsi",$B994=Test!$B$4),OR(Test!$B$5="Hepsi",$C994=Test!$B$5)),1,0))</f>
        <v>0</v>
      </c>
      <c r="K994" s="10" t="n">
        <f aca="true">IF($J994=1,RAND(),-1)</f>
        <v>-1</v>
      </c>
      <c r="L994" s="10" t="str">
        <f aca="false">IF($J994=1,RANK($K994,$K$2:$K$1001),"")</f>
        <v/>
      </c>
    </row>
    <row r="995" customFormat="false" ht="15" hidden="false" customHeight="false" outlineLevel="0" collapsed="false">
      <c r="J995" s="10" t="n">
        <f aca="false">IF($D995="",0,IF(AND(OR(Test!$B$4="Hepsi",$B995=Test!$B$4),OR(Test!$B$5="Hepsi",$C995=Test!$B$5)),1,0))</f>
        <v>0</v>
      </c>
      <c r="K995" s="10" t="n">
        <f aca="true">IF($J995=1,RAND(),-1)</f>
        <v>-1</v>
      </c>
      <c r="L995" s="10" t="str">
        <f aca="false">IF($J995=1,RANK($K995,$K$2:$K$1001),"")</f>
        <v/>
      </c>
    </row>
    <row r="996" customFormat="false" ht="15" hidden="false" customHeight="false" outlineLevel="0" collapsed="false">
      <c r="J996" s="10" t="n">
        <f aca="false">IF($D996="",0,IF(AND(OR(Test!$B$4="Hepsi",$B996=Test!$B$4),OR(Test!$B$5="Hepsi",$C996=Test!$B$5)),1,0))</f>
        <v>0</v>
      </c>
      <c r="K996" s="10" t="n">
        <f aca="true">IF($J996=1,RAND(),-1)</f>
        <v>-1</v>
      </c>
      <c r="L996" s="10" t="str">
        <f aca="false">IF($J996=1,RANK($K996,$K$2:$K$1001),"")</f>
        <v/>
      </c>
    </row>
    <row r="997" customFormat="false" ht="15" hidden="false" customHeight="false" outlineLevel="0" collapsed="false">
      <c r="J997" s="10" t="n">
        <f aca="false">IF($D997="",0,IF(AND(OR(Test!$B$4="Hepsi",$B997=Test!$B$4),OR(Test!$B$5="Hepsi",$C997=Test!$B$5)),1,0))</f>
        <v>0</v>
      </c>
      <c r="K997" s="10" t="n">
        <f aca="true">IF($J997=1,RAND(),-1)</f>
        <v>-1</v>
      </c>
      <c r="L997" s="10" t="str">
        <f aca="false">IF($J997=1,RANK($K997,$K$2:$K$1001),"")</f>
        <v/>
      </c>
    </row>
    <row r="998" customFormat="false" ht="15" hidden="false" customHeight="false" outlineLevel="0" collapsed="false">
      <c r="J998" s="10" t="n">
        <f aca="false">IF($D998="",0,IF(AND(OR(Test!$B$4="Hepsi",$B998=Test!$B$4),OR(Test!$B$5="Hepsi",$C998=Test!$B$5)),1,0))</f>
        <v>0</v>
      </c>
      <c r="K998" s="10" t="n">
        <f aca="true">IF($J998=1,RAND(),-1)</f>
        <v>-1</v>
      </c>
      <c r="L998" s="10" t="str">
        <f aca="false">IF($J998=1,RANK($K998,$K$2:$K$1001),"")</f>
        <v/>
      </c>
    </row>
    <row r="999" customFormat="false" ht="15" hidden="false" customHeight="false" outlineLevel="0" collapsed="false">
      <c r="J999" s="10" t="n">
        <f aca="false">IF($D999="",0,IF(AND(OR(Test!$B$4="Hepsi",$B999=Test!$B$4),OR(Test!$B$5="Hepsi",$C999=Test!$B$5)),1,0))</f>
        <v>0</v>
      </c>
      <c r="K999" s="10" t="n">
        <f aca="true">IF($J999=1,RAND(),-1)</f>
        <v>-1</v>
      </c>
      <c r="L999" s="10" t="str">
        <f aca="false">IF($J999=1,RANK($K999,$K$2:$K$1001),"")</f>
        <v/>
      </c>
    </row>
    <row r="1000" customFormat="false" ht="15" hidden="false" customHeight="false" outlineLevel="0" collapsed="false">
      <c r="J1000" s="10" t="n">
        <f aca="false">IF($D1000="",0,IF(AND(OR(Test!$B$4="Hepsi",$B1000=Test!$B$4),OR(Test!$B$5="Hepsi",$C1000=Test!$B$5)),1,0))</f>
        <v>0</v>
      </c>
      <c r="K1000" s="10" t="n">
        <f aca="true">IF($J1000=1,RAND(),-1)</f>
        <v>-1</v>
      </c>
      <c r="L1000" s="10" t="str">
        <f aca="false">IF($J1000=1,RANK($K1000,$K$2:$K$1001),"")</f>
        <v/>
      </c>
    </row>
    <row r="1001" customFormat="false" ht="15" hidden="false" customHeight="false" outlineLevel="0" collapsed="false">
      <c r="J1001" s="10" t="n">
        <f aca="false">IF($D1001="",0,IF(AND(OR(Test!$B$4="Hepsi",$B1001=Test!$B$4),OR(Test!$B$5="Hepsi",$C1001=Test!$B$5)),1,0))</f>
        <v>0</v>
      </c>
      <c r="K1001" s="10" t="n">
        <f aca="true">IF($J1001=1,RAND(),-1)</f>
        <v>-1</v>
      </c>
      <c r="L1001" s="10" t="str">
        <f aca="false">IF($J1001=1,RANK($K1001,$K$2:$K$1001),"")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3" t="s">
        <v>483</v>
      </c>
    </row>
    <row r="3" customFormat="false" ht="15" hidden="false" customHeight="false" outlineLevel="0" collapsed="false">
      <c r="A3" s="9" t="s">
        <v>11</v>
      </c>
      <c r="B3" s="9" t="s">
        <v>22</v>
      </c>
      <c r="C3" s="9" t="s">
        <v>484</v>
      </c>
    </row>
    <row r="4" customFormat="false" ht="15" hidden="false" customHeight="false" outlineLevel="0" collapsed="false">
      <c r="A4" s="12" t="n">
        <f aca="false">Test!A12</f>
        <v>1</v>
      </c>
      <c r="B4" s="5" t="str">
        <f aca="false">IF(Test!$J12="","",INDEX('Soru Havuzu'!$I$2:$I$1001,Test!$J12))</f>
        <v>B</v>
      </c>
      <c r="C4" s="12" t="str">
        <f aca="false">IF(B4="","",INDEX(Test!$C12:$F12,MATCH(B4,{"A","B","C","D"},0)))</f>
        <v>24</v>
      </c>
    </row>
    <row r="5" customFormat="false" ht="15" hidden="false" customHeight="false" outlineLevel="0" collapsed="false">
      <c r="A5" s="12" t="n">
        <f aca="false">Test!A13</f>
        <v>2</v>
      </c>
      <c r="B5" s="5" t="str">
        <f aca="false">IF(Test!$J13="","",INDEX('Soru Havuzu'!$I$2:$I$1001,Test!$J13))</f>
        <v>A</v>
      </c>
      <c r="C5" s="12" t="str">
        <f aca="false">IF(B5="","",INDEX(Test!$C13:$F13,MATCH(B5,{"A","B","C","D"},0)))</f>
        <v>343</v>
      </c>
    </row>
    <row r="6" customFormat="false" ht="15" hidden="false" customHeight="false" outlineLevel="0" collapsed="false">
      <c r="A6" s="12" t="n">
        <f aca="false">Test!A14</f>
        <v>3</v>
      </c>
      <c r="B6" s="5" t="str">
        <f aca="false">IF(Test!$J14="","",INDEX('Soru Havuzu'!$I$2:$I$1001,Test!$J14))</f>
        <v>C</v>
      </c>
      <c r="C6" s="12" t="str">
        <f aca="false">IF(B6="","",INDEX(Test!$C14:$F14,MATCH(B6,{"A","B","C","D"},0)))</f>
        <v>84</v>
      </c>
    </row>
    <row r="7" customFormat="false" ht="15" hidden="false" customHeight="false" outlineLevel="0" collapsed="false">
      <c r="A7" s="12" t="n">
        <f aca="false">Test!A15</f>
        <v>4</v>
      </c>
      <c r="B7" s="5" t="str">
        <f aca="false">IF(Test!$J15="","",INDEX('Soru Havuzu'!$I$2:$I$1001,Test!$J15))</f>
        <v>A</v>
      </c>
      <c r="C7" s="12" t="str">
        <f aca="false">IF(B7="","",INDEX(Test!$C15:$F15,MATCH(B7,{"A","B","C","D"},0)))</f>
        <v>2</v>
      </c>
    </row>
    <row r="8" customFormat="false" ht="15" hidden="false" customHeight="false" outlineLevel="0" collapsed="false">
      <c r="A8" s="12" t="n">
        <f aca="false">Test!A16</f>
        <v>5</v>
      </c>
      <c r="B8" s="5" t="str">
        <f aca="false">IF(Test!$J16="","",INDEX('Soru Havuzu'!$I$2:$I$1001,Test!$J16))</f>
        <v>D</v>
      </c>
      <c r="C8" s="12" t="str">
        <f aca="false">IF(B8="","",INDEX(Test!$C16:$F16,MATCH(B8,{"A","B","C","D"},0)))</f>
        <v>64</v>
      </c>
    </row>
    <row r="9" customFormat="false" ht="15" hidden="false" customHeight="false" outlineLevel="0" collapsed="false">
      <c r="A9" s="12" t="n">
        <f aca="false">Test!A17</f>
        <v>6</v>
      </c>
      <c r="B9" s="5" t="str">
        <f aca="false">IF(Test!$J17="","",INDEX('Soru Havuzu'!$I$2:$I$1001,Test!$J17))</f>
        <v>D</v>
      </c>
      <c r="C9" s="12" t="str">
        <f aca="false">IF(B9="","",INDEX(Test!$C17:$F17,MATCH(B9,{"A","B","C","D"},0)))</f>
        <v>10²</v>
      </c>
    </row>
    <row r="10" customFormat="false" ht="15" hidden="false" customHeight="false" outlineLevel="0" collapsed="false">
      <c r="A10" s="12" t="n">
        <f aca="false">Test!A18</f>
        <v>7</v>
      </c>
      <c r="B10" s="5" t="str">
        <f aca="false">IF(Test!$J18="","",INDEX('Soru Havuzu'!$I$2:$I$1001,Test!$J18))</f>
        <v>C</v>
      </c>
      <c r="C10" s="12" t="str">
        <f aca="false">IF(B10="","",INDEX(Test!$C18:$F18,MATCH(B10,{"A","B","C","D"},0)))</f>
        <v>6 · 6 · 6</v>
      </c>
    </row>
    <row r="11" customFormat="false" ht="15" hidden="false" customHeight="false" outlineLevel="0" collapsed="false">
      <c r="A11" s="12" t="n">
        <f aca="false">Test!A19</f>
        <v>8</v>
      </c>
      <c r="B11" s="5" t="str">
        <f aca="false">IF(Test!$J19="","",INDEX('Soru Havuzu'!$I$2:$I$1001,Test!$J19))</f>
        <v>D</v>
      </c>
      <c r="C11" s="12" t="str">
        <f aca="false">IF(B11="","",INDEX(Test!$C19:$F19,MATCH(B11,{"A","B","C","D"},0)))</f>
        <v>9²</v>
      </c>
    </row>
    <row r="12" customFormat="false" ht="15" hidden="false" customHeight="false" outlineLevel="0" collapsed="false">
      <c r="A12" s="12" t="n">
        <f aca="false">Test!A20</f>
        <v>9</v>
      </c>
      <c r="B12" s="5" t="str">
        <f aca="false">IF(Test!$J20="","",INDEX('Soru Havuzu'!$I$2:$I$1001,Test!$J20))</f>
        <v>A</v>
      </c>
      <c r="C12" s="12" t="str">
        <f aca="false">IF(B12="","",INDEX(Test!$C20:$F20,MATCH(B12,{"A","B","C","D"},0)))</f>
        <v>49</v>
      </c>
    </row>
    <row r="13" customFormat="false" ht="15" hidden="false" customHeight="false" outlineLevel="0" collapsed="false">
      <c r="A13" s="12" t="n">
        <f aca="false">Test!A21</f>
        <v>10</v>
      </c>
      <c r="B13" s="5" t="str">
        <f aca="false">IF(Test!$J21="","",INDEX('Soru Havuzu'!$I$2:$I$1001,Test!$J21))</f>
        <v>D</v>
      </c>
      <c r="C13" s="12" t="str">
        <f aca="false">IF(B13="","",INDEX(Test!$C21:$F21,MATCH(B13,{"A","B","C","D"},0)))</f>
        <v>729</v>
      </c>
    </row>
    <row r="14" customFormat="false" ht="15" hidden="false" customHeight="false" outlineLevel="0" collapsed="false">
      <c r="A14" s="12" t="str">
        <f aca="false">Test!A22</f>
        <v/>
      </c>
      <c r="B14" s="5" t="str">
        <f aca="false">IF(Test!$J22="","",INDEX('Soru Havuzu'!$I$2:$I$1001,Test!$J22))</f>
        <v/>
      </c>
      <c r="C14" s="12" t="str">
        <f aca="false">IF(B14="","",INDEX(Test!$C22:$F22,MATCH(B14,{"A","B","C","D"},0)))</f>
        <v/>
      </c>
    </row>
    <row r="15" customFormat="false" ht="15" hidden="false" customHeight="false" outlineLevel="0" collapsed="false">
      <c r="A15" s="12" t="str">
        <f aca="false">Test!A23</f>
        <v/>
      </c>
      <c r="B15" s="5" t="str">
        <f aca="false">IF(Test!$J23="","",INDEX('Soru Havuzu'!$I$2:$I$1001,Test!$J23))</f>
        <v/>
      </c>
      <c r="C15" s="12" t="str">
        <f aca="false">IF(B15="","",INDEX(Test!$C23:$F23,MATCH(B15,{"A","B","C","D"},0)))</f>
        <v/>
      </c>
    </row>
    <row r="16" customFormat="false" ht="15" hidden="false" customHeight="false" outlineLevel="0" collapsed="false">
      <c r="A16" s="12" t="str">
        <f aca="false">Test!A24</f>
        <v/>
      </c>
      <c r="B16" s="5" t="str">
        <f aca="false">IF(Test!$J24="","",INDEX('Soru Havuzu'!$I$2:$I$1001,Test!$J24))</f>
        <v/>
      </c>
      <c r="C16" s="12" t="str">
        <f aca="false">IF(B16="","",INDEX(Test!$C24:$F24,MATCH(B16,{"A","B","C","D"},0)))</f>
        <v/>
      </c>
    </row>
    <row r="17" customFormat="false" ht="15" hidden="false" customHeight="false" outlineLevel="0" collapsed="false">
      <c r="A17" s="12" t="str">
        <f aca="false">Test!A25</f>
        <v/>
      </c>
      <c r="B17" s="5" t="str">
        <f aca="false">IF(Test!$J25="","",INDEX('Soru Havuzu'!$I$2:$I$1001,Test!$J25))</f>
        <v/>
      </c>
      <c r="C17" s="12" t="str">
        <f aca="false">IF(B17="","",INDEX(Test!$C25:$F25,MATCH(B17,{"A","B","C","D"},0)))</f>
        <v/>
      </c>
    </row>
    <row r="18" customFormat="false" ht="15" hidden="false" customHeight="false" outlineLevel="0" collapsed="false">
      <c r="A18" s="12" t="str">
        <f aca="false">Test!A26</f>
        <v/>
      </c>
      <c r="B18" s="5" t="str">
        <f aca="false">IF(Test!$J26="","",INDEX('Soru Havuzu'!$I$2:$I$1001,Test!$J26))</f>
        <v/>
      </c>
      <c r="C18" s="12" t="str">
        <f aca="false">IF(B18="","",INDEX(Test!$C26:$F26,MATCH(B18,{"A","B","C","D"},0)))</f>
        <v/>
      </c>
    </row>
    <row r="19" customFormat="false" ht="15" hidden="false" customHeight="false" outlineLevel="0" collapsed="false">
      <c r="A19" s="12" t="str">
        <f aca="false">Test!A27</f>
        <v/>
      </c>
      <c r="B19" s="5" t="str">
        <f aca="false">IF(Test!$J27="","",INDEX('Soru Havuzu'!$I$2:$I$1001,Test!$J27))</f>
        <v/>
      </c>
      <c r="C19" s="12" t="str">
        <f aca="false">IF(B19="","",INDEX(Test!$C27:$F27,MATCH(B19,{"A","B","C","D"},0)))</f>
        <v/>
      </c>
    </row>
    <row r="20" customFormat="false" ht="15" hidden="false" customHeight="false" outlineLevel="0" collapsed="false">
      <c r="A20" s="12" t="str">
        <f aca="false">Test!A28</f>
        <v/>
      </c>
      <c r="B20" s="5" t="str">
        <f aca="false">IF(Test!$J28="","",INDEX('Soru Havuzu'!$I$2:$I$1001,Test!$J28))</f>
        <v/>
      </c>
      <c r="C20" s="12" t="str">
        <f aca="false">IF(B20="","",INDEX(Test!$C28:$F28,MATCH(B20,{"A","B","C","D"},0)))</f>
        <v/>
      </c>
    </row>
    <row r="21" customFormat="false" ht="15" hidden="false" customHeight="false" outlineLevel="0" collapsed="false">
      <c r="A21" s="12" t="str">
        <f aca="false">Test!A29</f>
        <v/>
      </c>
      <c r="B21" s="5" t="str">
        <f aca="false">IF(Test!$J29="","",INDEX('Soru Havuzu'!$I$2:$I$1001,Test!$J29))</f>
        <v/>
      </c>
      <c r="C21" s="12" t="str">
        <f aca="false">IF(B21="","",INDEX(Test!$C29:$F29,MATCH(B21,{"A","B","C","D"},0)))</f>
        <v/>
      </c>
    </row>
    <row r="22" customFormat="false" ht="15" hidden="false" customHeight="false" outlineLevel="0" collapsed="false">
      <c r="A22" s="12" t="str">
        <f aca="false">Test!A30</f>
        <v/>
      </c>
      <c r="B22" s="5" t="str">
        <f aca="false">IF(Test!$J30="","",INDEX('Soru Havuzu'!$I$2:$I$1001,Test!$J30))</f>
        <v/>
      </c>
      <c r="C22" s="12" t="str">
        <f aca="false">IF(B22="","",INDEX(Test!$C30:$F30,MATCH(B22,{"A","B","C","D"},0)))</f>
        <v/>
      </c>
    </row>
    <row r="23" customFormat="false" ht="15" hidden="false" customHeight="false" outlineLevel="0" collapsed="false">
      <c r="A23" s="12" t="str">
        <f aca="false">Test!A31</f>
        <v/>
      </c>
      <c r="B23" s="5" t="str">
        <f aca="false">IF(Test!$J31="","",INDEX('Soru Havuzu'!$I$2:$I$1001,Test!$J31))</f>
        <v/>
      </c>
      <c r="C23" s="12" t="str">
        <f aca="false">IF(B23="","",INDEX(Test!$C31:$F31,MATCH(B23,{"A","B","C","D"},0)))</f>
        <v/>
      </c>
    </row>
    <row r="24" customFormat="false" ht="15" hidden="false" customHeight="false" outlineLevel="0" collapsed="false">
      <c r="A24" s="12" t="str">
        <f aca="false">Test!A32</f>
        <v/>
      </c>
      <c r="B24" s="5" t="str">
        <f aca="false">IF(Test!$J32="","",INDEX('Soru Havuzu'!$I$2:$I$1001,Test!$J32))</f>
        <v/>
      </c>
      <c r="C24" s="12" t="str">
        <f aca="false">IF(B24="","",INDEX(Test!$C32:$F32,MATCH(B24,{"A","B","C","D"},0)))</f>
        <v/>
      </c>
    </row>
    <row r="25" customFormat="false" ht="15" hidden="false" customHeight="false" outlineLevel="0" collapsed="false">
      <c r="A25" s="12" t="str">
        <f aca="false">Test!A33</f>
        <v/>
      </c>
      <c r="B25" s="5" t="str">
        <f aca="false">IF(Test!$J33="","",INDEX('Soru Havuzu'!$I$2:$I$1001,Test!$J33))</f>
        <v/>
      </c>
      <c r="C25" s="12" t="str">
        <f aca="false">IF(B25="","",INDEX(Test!$C33:$F33,MATCH(B25,{"A","B","C","D"},0)))</f>
        <v/>
      </c>
    </row>
    <row r="26" customFormat="false" ht="15" hidden="false" customHeight="false" outlineLevel="0" collapsed="false">
      <c r="A26" s="12" t="str">
        <f aca="false">Test!A34</f>
        <v/>
      </c>
      <c r="B26" s="5" t="str">
        <f aca="false">IF(Test!$J34="","",INDEX('Soru Havuzu'!$I$2:$I$1001,Test!$J34))</f>
        <v/>
      </c>
      <c r="C26" s="12" t="str">
        <f aca="false">IF(B26="","",INDEX(Test!$C34:$F34,MATCH(B26,{"A","B","C","D"},0)))</f>
        <v/>
      </c>
    </row>
    <row r="27" customFormat="false" ht="15" hidden="false" customHeight="false" outlineLevel="0" collapsed="false">
      <c r="A27" s="12" t="str">
        <f aca="false">Test!A35</f>
        <v/>
      </c>
      <c r="B27" s="5" t="str">
        <f aca="false">IF(Test!$J35="","",INDEX('Soru Havuzu'!$I$2:$I$1001,Test!$J35))</f>
        <v/>
      </c>
      <c r="C27" s="12" t="str">
        <f aca="false">IF(B27="","",INDEX(Test!$C35:$F35,MATCH(B27,{"A","B","C","D"},0)))</f>
        <v/>
      </c>
    </row>
    <row r="28" customFormat="false" ht="15" hidden="false" customHeight="false" outlineLevel="0" collapsed="false">
      <c r="A28" s="12" t="str">
        <f aca="false">Test!A36</f>
        <v/>
      </c>
      <c r="B28" s="5" t="str">
        <f aca="false">IF(Test!$J36="","",INDEX('Soru Havuzu'!$I$2:$I$1001,Test!$J36))</f>
        <v/>
      </c>
      <c r="C28" s="12" t="str">
        <f aca="false">IF(B28="","",INDEX(Test!$C36:$F36,MATCH(B28,{"A","B","C","D"},0)))</f>
        <v/>
      </c>
    </row>
    <row r="29" customFormat="false" ht="15" hidden="false" customHeight="false" outlineLevel="0" collapsed="false">
      <c r="A29" s="12" t="str">
        <f aca="false">Test!A37</f>
        <v/>
      </c>
      <c r="B29" s="5" t="str">
        <f aca="false">IF(Test!$J37="","",INDEX('Soru Havuzu'!$I$2:$I$1001,Test!$J37))</f>
        <v/>
      </c>
      <c r="C29" s="12" t="str">
        <f aca="false">IF(B29="","",INDEX(Test!$C37:$F37,MATCH(B29,{"A","B","C","D"},0)))</f>
        <v/>
      </c>
    </row>
    <row r="30" customFormat="false" ht="15" hidden="false" customHeight="false" outlineLevel="0" collapsed="false">
      <c r="A30" s="12" t="str">
        <f aca="false">Test!A38</f>
        <v/>
      </c>
      <c r="B30" s="5" t="str">
        <f aca="false">IF(Test!$J38="","",INDEX('Soru Havuzu'!$I$2:$I$1001,Test!$J38))</f>
        <v/>
      </c>
      <c r="C30" s="12" t="str">
        <f aca="false">IF(B30="","",INDEX(Test!$C38:$F38,MATCH(B30,{"A","B","C","D"},0)))</f>
        <v/>
      </c>
    </row>
    <row r="31" customFormat="false" ht="15" hidden="false" customHeight="false" outlineLevel="0" collapsed="false">
      <c r="A31" s="12" t="str">
        <f aca="false">Test!A39</f>
        <v/>
      </c>
      <c r="B31" s="5" t="str">
        <f aca="false">IF(Test!$J39="","",INDEX('Soru Havuzu'!$I$2:$I$1001,Test!$J39))</f>
        <v/>
      </c>
      <c r="C31" s="12" t="str">
        <f aca="false">IF(B31="","",INDEX(Test!$C39:$F39,MATCH(B31,{"A","B","C","D"},0)))</f>
        <v/>
      </c>
    </row>
    <row r="32" customFormat="false" ht="15" hidden="false" customHeight="false" outlineLevel="0" collapsed="false">
      <c r="A32" s="12" t="str">
        <f aca="false">Test!A40</f>
        <v/>
      </c>
      <c r="B32" s="5" t="str">
        <f aca="false">IF(Test!$J40="","",INDEX('Soru Havuzu'!$I$2:$I$1001,Test!$J40))</f>
        <v/>
      </c>
      <c r="C32" s="12" t="str">
        <f aca="false">IF(B32="","",INDEX(Test!$C40:$F40,MATCH(B32,{"A","B","C","D"},0)))</f>
        <v/>
      </c>
    </row>
    <row r="33" customFormat="false" ht="15" hidden="false" customHeight="false" outlineLevel="0" collapsed="false">
      <c r="A33" s="12" t="str">
        <f aca="false">Test!A41</f>
        <v/>
      </c>
      <c r="B33" s="5" t="str">
        <f aca="false">IF(Test!$J41="","",INDEX('Soru Havuzu'!$I$2:$I$1001,Test!$J41))</f>
        <v/>
      </c>
      <c r="C33" s="12" t="str">
        <f aca="false">IF(B33="","",INDEX(Test!$C41:$F41,MATCH(B33,{"A","B","C","D"},0)))</f>
        <v/>
      </c>
    </row>
    <row r="34" customFormat="false" ht="15" hidden="false" customHeight="false" outlineLevel="0" collapsed="false">
      <c r="A34" s="12" t="str">
        <f aca="false">Test!A42</f>
        <v/>
      </c>
      <c r="B34" s="5" t="str">
        <f aca="false">IF(Test!$J42="","",INDEX('Soru Havuzu'!$I$2:$I$1001,Test!$J42))</f>
        <v/>
      </c>
      <c r="C34" s="12" t="str">
        <f aca="false">IF(B34="","",INDEX(Test!$C42:$F42,MATCH(B34,{"A","B","C","D"},0)))</f>
        <v/>
      </c>
    </row>
    <row r="35" customFormat="false" ht="15" hidden="false" customHeight="false" outlineLevel="0" collapsed="false">
      <c r="A35" s="12" t="str">
        <f aca="false">Test!A43</f>
        <v/>
      </c>
      <c r="B35" s="5" t="str">
        <f aca="false">IF(Test!$J43="","",INDEX('Soru Havuzu'!$I$2:$I$1001,Test!$J43))</f>
        <v/>
      </c>
      <c r="C35" s="12" t="str">
        <f aca="false">IF(B35="","",INDEX(Test!$C43:$F43,MATCH(B35,{"A","B","C","D"},0)))</f>
        <v/>
      </c>
    </row>
    <row r="36" customFormat="false" ht="15" hidden="false" customHeight="false" outlineLevel="0" collapsed="false">
      <c r="A36" s="12" t="str">
        <f aca="false">Test!A44</f>
        <v/>
      </c>
      <c r="B36" s="5" t="str">
        <f aca="false">IF(Test!$J44="","",INDEX('Soru Havuzu'!$I$2:$I$1001,Test!$J44))</f>
        <v/>
      </c>
      <c r="C36" s="12" t="str">
        <f aca="false">IF(B36="","",INDEX(Test!$C44:$F44,MATCH(B36,{"A","B","C","D"},0)))</f>
        <v/>
      </c>
    </row>
    <row r="37" customFormat="false" ht="15" hidden="false" customHeight="false" outlineLevel="0" collapsed="false">
      <c r="A37" s="12" t="str">
        <f aca="false">Test!A45</f>
        <v/>
      </c>
      <c r="B37" s="5" t="str">
        <f aca="false">IF(Test!$J45="","",INDEX('Soru Havuzu'!$I$2:$I$1001,Test!$J45))</f>
        <v/>
      </c>
      <c r="C37" s="12" t="str">
        <f aca="false">IF(B37="","",INDEX(Test!$C45:$F45,MATCH(B37,{"A","B","C","D"},0)))</f>
        <v/>
      </c>
    </row>
    <row r="38" customFormat="false" ht="15" hidden="false" customHeight="false" outlineLevel="0" collapsed="false">
      <c r="A38" s="12" t="str">
        <f aca="false">Test!A46</f>
        <v/>
      </c>
      <c r="B38" s="5" t="str">
        <f aca="false">IF(Test!$J46="","",INDEX('Soru Havuzu'!$I$2:$I$1001,Test!$J46))</f>
        <v/>
      </c>
      <c r="C38" s="12" t="str">
        <f aca="false">IF(B38="","",INDEX(Test!$C46:$F46,MATCH(B38,{"A","B","C","D"},0)))</f>
        <v/>
      </c>
    </row>
    <row r="39" customFormat="false" ht="15" hidden="false" customHeight="false" outlineLevel="0" collapsed="false">
      <c r="A39" s="12" t="str">
        <f aca="false">Test!A47</f>
        <v/>
      </c>
      <c r="B39" s="5" t="str">
        <f aca="false">IF(Test!$J47="","",INDEX('Soru Havuzu'!$I$2:$I$1001,Test!$J47))</f>
        <v/>
      </c>
      <c r="C39" s="12" t="str">
        <f aca="false">IF(B39="","",INDEX(Test!$C47:$F47,MATCH(B39,{"A","B","C","D"},0)))</f>
        <v/>
      </c>
    </row>
    <row r="40" customFormat="false" ht="15" hidden="false" customHeight="false" outlineLevel="0" collapsed="false">
      <c r="A40" s="12" t="str">
        <f aca="false">Test!A48</f>
        <v/>
      </c>
      <c r="B40" s="5" t="str">
        <f aca="false">IF(Test!$J48="","",INDEX('Soru Havuzu'!$I$2:$I$1001,Test!$J48))</f>
        <v/>
      </c>
      <c r="C40" s="12" t="str">
        <f aca="false">IF(B40="","",INDEX(Test!$C48:$F48,MATCH(B40,{"A","B","C","D"},0)))</f>
        <v/>
      </c>
    </row>
    <row r="41" customFormat="false" ht="15" hidden="false" customHeight="false" outlineLevel="0" collapsed="false">
      <c r="A41" s="12" t="str">
        <f aca="false">Test!A49</f>
        <v/>
      </c>
      <c r="B41" s="5" t="str">
        <f aca="false">IF(Test!$J49="","",INDEX('Soru Havuzu'!$I$2:$I$1001,Test!$J49))</f>
        <v/>
      </c>
      <c r="C41" s="12" t="str">
        <f aca="false">IF(B41="","",INDEX(Test!$C49:$F49,MATCH(B41,{"A","B","C","D"},0)))</f>
        <v/>
      </c>
    </row>
    <row r="42" customFormat="false" ht="15" hidden="false" customHeight="false" outlineLevel="0" collapsed="false">
      <c r="A42" s="12" t="str">
        <f aca="false">Test!A50</f>
        <v/>
      </c>
      <c r="B42" s="5" t="str">
        <f aca="false">IF(Test!$J50="","",INDEX('Soru Havuzu'!$I$2:$I$1001,Test!$J50))</f>
        <v/>
      </c>
      <c r="C42" s="12" t="str">
        <f aca="false">IF(B42="","",INDEX(Test!$C50:$F50,MATCH(B42,{"A","B","C","D"},0)))</f>
        <v/>
      </c>
    </row>
    <row r="43" customFormat="false" ht="15" hidden="false" customHeight="false" outlineLevel="0" collapsed="false">
      <c r="A43" s="12" t="str">
        <f aca="false">Test!A51</f>
        <v/>
      </c>
      <c r="B43" s="5" t="str">
        <f aca="false">IF(Test!$J51="","",INDEX('Soru Havuzu'!$I$2:$I$1001,Test!$J51))</f>
        <v/>
      </c>
      <c r="C43" s="12" t="str">
        <f aca="false">IF(B43="","",INDEX(Test!$C51:$F51,MATCH(B43,{"A","B","C","D"},0)))</f>
        <v/>
      </c>
    </row>
    <row r="44" customFormat="false" ht="15" hidden="false" customHeight="false" outlineLevel="0" collapsed="false">
      <c r="A44" s="12" t="str">
        <f aca="false">Test!A52</f>
        <v/>
      </c>
      <c r="B44" s="5" t="str">
        <f aca="false">IF(Test!$J52="","",INDEX('Soru Havuzu'!$I$2:$I$1001,Test!$J52))</f>
        <v/>
      </c>
      <c r="C44" s="12" t="str">
        <f aca="false">IF(B44="","",INDEX(Test!$C52:$F52,MATCH(B44,{"A","B","C","D"},0)))</f>
        <v/>
      </c>
    </row>
    <row r="45" customFormat="false" ht="15" hidden="false" customHeight="false" outlineLevel="0" collapsed="false">
      <c r="A45" s="12" t="str">
        <f aca="false">Test!A53</f>
        <v/>
      </c>
      <c r="B45" s="5" t="str">
        <f aca="false">IF(Test!$J53="","",INDEX('Soru Havuzu'!$I$2:$I$1001,Test!$J53))</f>
        <v/>
      </c>
      <c r="C45" s="12" t="str">
        <f aca="false">IF(B45="","",INDEX(Test!$C53:$F53,MATCH(B45,{"A","B","C","D"},0)))</f>
        <v/>
      </c>
    </row>
    <row r="46" customFormat="false" ht="15" hidden="false" customHeight="false" outlineLevel="0" collapsed="false">
      <c r="A46" s="12" t="str">
        <f aca="false">Test!A54</f>
        <v/>
      </c>
      <c r="B46" s="5" t="str">
        <f aca="false">IF(Test!$J54="","",INDEX('Soru Havuzu'!$I$2:$I$1001,Test!$J54))</f>
        <v/>
      </c>
      <c r="C46" s="12" t="str">
        <f aca="false">IF(B46="","",INDEX(Test!$C54:$F54,MATCH(B46,{"A","B","C","D"},0)))</f>
        <v/>
      </c>
    </row>
    <row r="47" customFormat="false" ht="15" hidden="false" customHeight="false" outlineLevel="0" collapsed="false">
      <c r="A47" s="12" t="str">
        <f aca="false">Test!A55</f>
        <v/>
      </c>
      <c r="B47" s="5" t="str">
        <f aca="false">IF(Test!$J55="","",INDEX('Soru Havuzu'!$I$2:$I$1001,Test!$J55))</f>
        <v/>
      </c>
      <c r="C47" s="12" t="str">
        <f aca="false">IF(B47="","",INDEX(Test!$C55:$F55,MATCH(B47,{"A","B","C","D"},0)))</f>
        <v/>
      </c>
    </row>
    <row r="48" customFormat="false" ht="15" hidden="false" customHeight="false" outlineLevel="0" collapsed="false">
      <c r="A48" s="12" t="str">
        <f aca="false">Test!A56</f>
        <v/>
      </c>
      <c r="B48" s="5" t="str">
        <f aca="false">IF(Test!$J56="","",INDEX('Soru Havuzu'!$I$2:$I$1001,Test!$J56))</f>
        <v/>
      </c>
      <c r="C48" s="12" t="str">
        <f aca="false">IF(B48="","",INDEX(Test!$C56:$F56,MATCH(B48,{"A","B","C","D"},0)))</f>
        <v/>
      </c>
    </row>
    <row r="49" customFormat="false" ht="15" hidden="false" customHeight="false" outlineLevel="0" collapsed="false">
      <c r="A49" s="12" t="str">
        <f aca="false">Test!A57</f>
        <v/>
      </c>
      <c r="B49" s="5" t="str">
        <f aca="false">IF(Test!$J57="","",INDEX('Soru Havuzu'!$I$2:$I$1001,Test!$J57))</f>
        <v/>
      </c>
      <c r="C49" s="12" t="str">
        <f aca="false">IF(B49="","",INDEX(Test!$C57:$F57,MATCH(B49,{"A","B","C","D"},0)))</f>
        <v/>
      </c>
    </row>
    <row r="50" customFormat="false" ht="15" hidden="false" customHeight="false" outlineLevel="0" collapsed="false">
      <c r="A50" s="12" t="str">
        <f aca="false">Test!A58</f>
        <v/>
      </c>
      <c r="B50" s="5" t="str">
        <f aca="false">IF(Test!$J58="","",INDEX('Soru Havuzu'!$I$2:$I$1001,Test!$J58))</f>
        <v/>
      </c>
      <c r="C50" s="12" t="str">
        <f aca="false">IF(B50="","",INDEX(Test!$C58:$F58,MATCH(B50,{"A","B","C","D"},0)))</f>
        <v/>
      </c>
    </row>
    <row r="51" customFormat="false" ht="15" hidden="false" customHeight="false" outlineLevel="0" collapsed="false">
      <c r="A51" s="12" t="str">
        <f aca="false">Test!A59</f>
        <v/>
      </c>
      <c r="B51" s="5" t="str">
        <f aca="false">IF(Test!$J59="","",INDEX('Soru Havuzu'!$I$2:$I$1001,Test!$J59))</f>
        <v/>
      </c>
      <c r="C51" s="12" t="str">
        <f aca="false">IF(B51="","",INDEX(Test!$C59:$F59,MATCH(B51,{"A","B","C","D"},0)))</f>
        <v/>
      </c>
    </row>
    <row r="52" customFormat="false" ht="15" hidden="false" customHeight="false" outlineLevel="0" collapsed="false">
      <c r="A52" s="12" t="str">
        <f aca="false">Test!A60</f>
        <v/>
      </c>
      <c r="B52" s="5" t="str">
        <f aca="false">IF(Test!$J60="","",INDEX('Soru Havuzu'!$I$2:$I$1001,Test!$J60))</f>
        <v/>
      </c>
      <c r="C52" s="12" t="str">
        <f aca="false">IF(B52="","",INDEX(Test!$C60:$F60,MATCH(B52,{"A","B","C","D"},0)))</f>
        <v/>
      </c>
    </row>
    <row r="53" customFormat="false" ht="15" hidden="false" customHeight="false" outlineLevel="0" collapsed="false">
      <c r="A53" s="12" t="str">
        <f aca="false">Test!A61</f>
        <v/>
      </c>
      <c r="B53" s="5" t="str">
        <f aca="false">IF(Test!$J61="","",INDEX('Soru Havuzu'!$I$2:$I$1001,Test!$J61))</f>
        <v/>
      </c>
      <c r="C53" s="12" t="str">
        <f aca="false">IF(B53="","",INDEX(Test!$C61:$F61,MATCH(B53,{"A","B","C","D"},0)))</f>
        <v/>
      </c>
    </row>
    <row r="54" customFormat="false" ht="15" hidden="false" customHeight="false" outlineLevel="0" collapsed="false">
      <c r="A54" s="12" t="str">
        <f aca="false">Test!A62</f>
        <v/>
      </c>
      <c r="B54" s="5" t="str">
        <f aca="false">IF(Test!$J62="","",INDEX('Soru Havuzu'!$I$2:$I$1001,Test!$J62))</f>
        <v/>
      </c>
      <c r="C54" s="12" t="str">
        <f aca="false">IF(B54="","",INDEX(Test!$C62:$F62,MATCH(B54,{"A","B","C","D"},0)))</f>
        <v/>
      </c>
    </row>
    <row r="55" customFormat="false" ht="15" hidden="false" customHeight="false" outlineLevel="0" collapsed="false">
      <c r="A55" s="12" t="str">
        <f aca="false">Test!A63</f>
        <v/>
      </c>
      <c r="B55" s="5" t="str">
        <f aca="false">IF(Test!$J63="","",INDEX('Soru Havuzu'!$I$2:$I$1001,Test!$J63))</f>
        <v/>
      </c>
      <c r="C55" s="12" t="str">
        <f aca="false">IF(B55="","",INDEX(Test!$C63:$F63,MATCH(B55,{"A","B","C","D"},0)))</f>
        <v/>
      </c>
    </row>
    <row r="56" customFormat="false" ht="15" hidden="false" customHeight="false" outlineLevel="0" collapsed="false">
      <c r="A56" s="12" t="str">
        <f aca="false">Test!A64</f>
        <v/>
      </c>
      <c r="B56" s="5" t="str">
        <f aca="false">IF(Test!$J64="","",INDEX('Soru Havuzu'!$I$2:$I$1001,Test!$J64))</f>
        <v/>
      </c>
      <c r="C56" s="12" t="str">
        <f aca="false">IF(B56="","",INDEX(Test!$C64:$F64,MATCH(B56,{"A","B","C","D"},0)))</f>
        <v/>
      </c>
    </row>
    <row r="57" customFormat="false" ht="15" hidden="false" customHeight="false" outlineLevel="0" collapsed="false">
      <c r="A57" s="12" t="str">
        <f aca="false">Test!A65</f>
        <v/>
      </c>
      <c r="B57" s="5" t="str">
        <f aca="false">IF(Test!$J65="","",INDEX('Soru Havuzu'!$I$2:$I$1001,Test!$J65))</f>
        <v/>
      </c>
      <c r="C57" s="12" t="str">
        <f aca="false">IF(B57="","",INDEX(Test!$C65:$F65,MATCH(B57,{"A","B","C","D"},0)))</f>
        <v/>
      </c>
    </row>
    <row r="58" customFormat="false" ht="15" hidden="false" customHeight="false" outlineLevel="0" collapsed="false">
      <c r="A58" s="12" t="str">
        <f aca="false">Test!A66</f>
        <v/>
      </c>
      <c r="B58" s="5" t="str">
        <f aca="false">IF(Test!$J66="","",INDEX('Soru Havuzu'!$I$2:$I$1001,Test!$J66))</f>
        <v/>
      </c>
      <c r="C58" s="12" t="str">
        <f aca="false">IF(B58="","",INDEX(Test!$C66:$F66,MATCH(B58,{"A","B","C","D"},0)))</f>
        <v/>
      </c>
    </row>
    <row r="59" customFormat="false" ht="15" hidden="false" customHeight="false" outlineLevel="0" collapsed="false">
      <c r="A59" s="12" t="str">
        <f aca="false">Test!A67</f>
        <v/>
      </c>
      <c r="B59" s="5" t="str">
        <f aca="false">IF(Test!$J67="","",INDEX('Soru Havuzu'!$I$2:$I$1001,Test!$J67))</f>
        <v/>
      </c>
      <c r="C59" s="12" t="str">
        <f aca="false">IF(B59="","",INDEX(Test!$C67:$F67,MATCH(B59,{"A","B","C","D"},0)))</f>
        <v/>
      </c>
    </row>
    <row r="60" customFormat="false" ht="15" hidden="false" customHeight="false" outlineLevel="0" collapsed="false">
      <c r="A60" s="12" t="str">
        <f aca="false">Test!A68</f>
        <v/>
      </c>
      <c r="B60" s="5" t="str">
        <f aca="false">IF(Test!$J68="","",INDEX('Soru Havuzu'!$I$2:$I$1001,Test!$J68))</f>
        <v/>
      </c>
      <c r="C60" s="12" t="str">
        <f aca="false">IF(B60="","",INDEX(Test!$C68:$F68,MATCH(B60,{"A","B","C","D"},0)))</f>
        <v/>
      </c>
    </row>
    <row r="61" customFormat="false" ht="15" hidden="false" customHeight="false" outlineLevel="0" collapsed="false">
      <c r="A61" s="12" t="str">
        <f aca="false">Test!A69</f>
        <v/>
      </c>
      <c r="B61" s="5" t="str">
        <f aca="false">IF(Test!$J69="","",INDEX('Soru Havuzu'!$I$2:$I$1001,Test!$J69))</f>
        <v/>
      </c>
      <c r="C61" s="12" t="str">
        <f aca="false">IF(B61="","",INDEX(Test!$C69:$F69,MATCH(B61,{"A","B","C","D"},0)))</f>
        <v/>
      </c>
    </row>
    <row r="62" customFormat="false" ht="15" hidden="false" customHeight="false" outlineLevel="0" collapsed="false">
      <c r="A62" s="12" t="str">
        <f aca="false">Test!A70</f>
        <v/>
      </c>
      <c r="B62" s="5" t="str">
        <f aca="false">IF(Test!$J70="","",INDEX('Soru Havuzu'!$I$2:$I$1001,Test!$J70))</f>
        <v/>
      </c>
      <c r="C62" s="12" t="str">
        <f aca="false">IF(B62="","",INDEX(Test!$C70:$F70,MATCH(B62,{"A","B","C","D"},0)))</f>
        <v/>
      </c>
    </row>
    <row r="63" customFormat="false" ht="15" hidden="false" customHeight="false" outlineLevel="0" collapsed="false">
      <c r="A63" s="12" t="str">
        <f aca="false">Test!A71</f>
        <v/>
      </c>
      <c r="B63" s="5" t="str">
        <f aca="false">IF(Test!$J71="","",INDEX('Soru Havuzu'!$I$2:$I$1001,Test!$J71))</f>
        <v/>
      </c>
      <c r="C63" s="12" t="str">
        <f aca="false">IF(B63="","",INDEX(Test!$C71:$F71,MATCH(B63,{"A","B","C","D"},0)))</f>
        <v/>
      </c>
    </row>
    <row r="64" customFormat="false" ht="15" hidden="false" customHeight="false" outlineLevel="0" collapsed="false">
      <c r="A64" s="12" t="str">
        <f aca="false">Test!A72</f>
        <v/>
      </c>
      <c r="B64" s="5" t="str">
        <f aca="false">IF(Test!$J72="","",INDEX('Soru Havuzu'!$I$2:$I$1001,Test!$J72))</f>
        <v/>
      </c>
      <c r="C64" s="12" t="str">
        <f aca="false">IF(B64="","",INDEX(Test!$C72:$F72,MATCH(B64,{"A","B","C","D"},0)))</f>
        <v/>
      </c>
    </row>
    <row r="65" customFormat="false" ht="15" hidden="false" customHeight="false" outlineLevel="0" collapsed="false">
      <c r="A65" s="12" t="str">
        <f aca="false">Test!A73</f>
        <v/>
      </c>
      <c r="B65" s="5" t="str">
        <f aca="false">IF(Test!$J73="","",INDEX('Soru Havuzu'!$I$2:$I$1001,Test!$J73))</f>
        <v/>
      </c>
      <c r="C65" s="12" t="str">
        <f aca="false">IF(B65="","",INDEX(Test!$C73:$F73,MATCH(B65,{"A","B","C","D"},0)))</f>
        <v/>
      </c>
    </row>
    <row r="66" customFormat="false" ht="15" hidden="false" customHeight="false" outlineLevel="0" collapsed="false">
      <c r="A66" s="12" t="str">
        <f aca="false">Test!A74</f>
        <v/>
      </c>
      <c r="B66" s="5" t="str">
        <f aca="false">IF(Test!$J74="","",INDEX('Soru Havuzu'!$I$2:$I$1001,Test!$J74))</f>
        <v/>
      </c>
      <c r="C66" s="12" t="str">
        <f aca="false">IF(B66="","",INDEX(Test!$C74:$F74,MATCH(B66,{"A","B","C","D"},0)))</f>
        <v/>
      </c>
    </row>
    <row r="67" customFormat="false" ht="15" hidden="false" customHeight="false" outlineLevel="0" collapsed="false">
      <c r="A67" s="12" t="str">
        <f aca="false">Test!A75</f>
        <v/>
      </c>
      <c r="B67" s="5" t="str">
        <f aca="false">IF(Test!$J75="","",INDEX('Soru Havuzu'!$I$2:$I$1001,Test!$J75))</f>
        <v/>
      </c>
      <c r="C67" s="12" t="str">
        <f aca="false">IF(B67="","",INDEX(Test!$C75:$F75,MATCH(B67,{"A","B","C","D"},0)))</f>
        <v/>
      </c>
    </row>
    <row r="68" customFormat="false" ht="15" hidden="false" customHeight="false" outlineLevel="0" collapsed="false">
      <c r="A68" s="12" t="str">
        <f aca="false">Test!A76</f>
        <v/>
      </c>
      <c r="B68" s="5" t="str">
        <f aca="false">IF(Test!$J76="","",INDEX('Soru Havuzu'!$I$2:$I$1001,Test!$J76))</f>
        <v/>
      </c>
      <c r="C68" s="12" t="str">
        <f aca="false">IF(B68="","",INDEX(Test!$C76:$F76,MATCH(B68,{"A","B","C","D"},0)))</f>
        <v/>
      </c>
    </row>
    <row r="69" customFormat="false" ht="15" hidden="false" customHeight="false" outlineLevel="0" collapsed="false">
      <c r="A69" s="12" t="str">
        <f aca="false">Test!A77</f>
        <v/>
      </c>
      <c r="B69" s="5" t="str">
        <f aca="false">IF(Test!$J77="","",INDEX('Soru Havuzu'!$I$2:$I$1001,Test!$J77))</f>
        <v/>
      </c>
      <c r="C69" s="12" t="str">
        <f aca="false">IF(B69="","",INDEX(Test!$C77:$F77,MATCH(B69,{"A","B","C","D"},0)))</f>
        <v/>
      </c>
    </row>
    <row r="70" customFormat="false" ht="15" hidden="false" customHeight="false" outlineLevel="0" collapsed="false">
      <c r="A70" s="12" t="str">
        <f aca="false">Test!A78</f>
        <v/>
      </c>
      <c r="B70" s="5" t="str">
        <f aca="false">IF(Test!$J78="","",INDEX('Soru Havuzu'!$I$2:$I$1001,Test!$J78))</f>
        <v/>
      </c>
      <c r="C70" s="12" t="str">
        <f aca="false">IF(B70="","",INDEX(Test!$C78:$F78,MATCH(B70,{"A","B","C","D"},0)))</f>
        <v/>
      </c>
    </row>
    <row r="71" customFormat="false" ht="15" hidden="false" customHeight="false" outlineLevel="0" collapsed="false">
      <c r="A71" s="12" t="str">
        <f aca="false">Test!A79</f>
        <v/>
      </c>
      <c r="B71" s="5" t="str">
        <f aca="false">IF(Test!$J79="","",INDEX('Soru Havuzu'!$I$2:$I$1001,Test!$J79))</f>
        <v/>
      </c>
      <c r="C71" s="12" t="str">
        <f aca="false">IF(B71="","",INDEX(Test!$C79:$F79,MATCH(B71,{"A","B","C","D"},0)))</f>
        <v/>
      </c>
    </row>
    <row r="72" customFormat="false" ht="15" hidden="false" customHeight="false" outlineLevel="0" collapsed="false">
      <c r="A72" s="12" t="str">
        <f aca="false">Test!A80</f>
        <v/>
      </c>
      <c r="B72" s="5" t="str">
        <f aca="false">IF(Test!$J80="","",INDEX('Soru Havuzu'!$I$2:$I$1001,Test!$J80))</f>
        <v/>
      </c>
      <c r="C72" s="12" t="str">
        <f aca="false">IF(B72="","",INDEX(Test!$C80:$F80,MATCH(B72,{"A","B","C","D"},0)))</f>
        <v/>
      </c>
    </row>
    <row r="73" customFormat="false" ht="15" hidden="false" customHeight="false" outlineLevel="0" collapsed="false">
      <c r="A73" s="12" t="str">
        <f aca="false">Test!A81</f>
        <v/>
      </c>
      <c r="B73" s="5" t="str">
        <f aca="false">IF(Test!$J81="","",INDEX('Soru Havuzu'!$I$2:$I$1001,Test!$J81))</f>
        <v/>
      </c>
      <c r="C73" s="12" t="str">
        <f aca="false">IF(B73="","",INDEX(Test!$C81:$F81,MATCH(B73,{"A","B","C","D"},0)))</f>
        <v/>
      </c>
    </row>
    <row r="74" customFormat="false" ht="15" hidden="false" customHeight="false" outlineLevel="0" collapsed="false">
      <c r="A74" s="12" t="str">
        <f aca="false">Test!A82</f>
        <v/>
      </c>
      <c r="B74" s="5" t="str">
        <f aca="false">IF(Test!$J82="","",INDEX('Soru Havuzu'!$I$2:$I$1001,Test!$J82))</f>
        <v/>
      </c>
      <c r="C74" s="12" t="str">
        <f aca="false">IF(B74="","",INDEX(Test!$C82:$F82,MATCH(B74,{"A","B","C","D"},0)))</f>
        <v/>
      </c>
    </row>
    <row r="75" customFormat="false" ht="15" hidden="false" customHeight="false" outlineLevel="0" collapsed="false">
      <c r="A75" s="12" t="str">
        <f aca="false">Test!A83</f>
        <v/>
      </c>
      <c r="B75" s="5" t="str">
        <f aca="false">IF(Test!$J83="","",INDEX('Soru Havuzu'!$I$2:$I$1001,Test!$J83))</f>
        <v/>
      </c>
      <c r="C75" s="12" t="str">
        <f aca="false">IF(B75="","",INDEX(Test!$C83:$F83,MATCH(B75,{"A","B","C","D"},0)))</f>
        <v/>
      </c>
    </row>
    <row r="76" customFormat="false" ht="15" hidden="false" customHeight="false" outlineLevel="0" collapsed="false">
      <c r="A76" s="12" t="str">
        <f aca="false">Test!A84</f>
        <v/>
      </c>
      <c r="B76" s="5" t="str">
        <f aca="false">IF(Test!$J84="","",INDEX('Soru Havuzu'!$I$2:$I$1001,Test!$J84))</f>
        <v/>
      </c>
      <c r="C76" s="12" t="str">
        <f aca="false">IF(B76="","",INDEX(Test!$C84:$F84,MATCH(B76,{"A","B","C","D"},0)))</f>
        <v/>
      </c>
    </row>
    <row r="77" customFormat="false" ht="15" hidden="false" customHeight="false" outlineLevel="0" collapsed="false">
      <c r="A77" s="12" t="str">
        <f aca="false">Test!A85</f>
        <v/>
      </c>
      <c r="B77" s="5" t="str">
        <f aca="false">IF(Test!$J85="","",INDEX('Soru Havuzu'!$I$2:$I$1001,Test!$J85))</f>
        <v/>
      </c>
      <c r="C77" s="12" t="str">
        <f aca="false">IF(B77="","",INDEX(Test!$C85:$F85,MATCH(B77,{"A","B","C","D"},0)))</f>
        <v/>
      </c>
    </row>
    <row r="78" customFormat="false" ht="15" hidden="false" customHeight="false" outlineLevel="0" collapsed="false">
      <c r="A78" s="12" t="str">
        <f aca="false">Test!A86</f>
        <v/>
      </c>
      <c r="B78" s="5" t="str">
        <f aca="false">IF(Test!$J86="","",INDEX('Soru Havuzu'!$I$2:$I$1001,Test!$J86))</f>
        <v/>
      </c>
      <c r="C78" s="12" t="str">
        <f aca="false">IF(B78="","",INDEX(Test!$C86:$F86,MATCH(B78,{"A","B","C","D"},0)))</f>
        <v/>
      </c>
    </row>
    <row r="79" customFormat="false" ht="15" hidden="false" customHeight="false" outlineLevel="0" collapsed="false">
      <c r="A79" s="12" t="str">
        <f aca="false">Test!A87</f>
        <v/>
      </c>
      <c r="B79" s="5" t="str">
        <f aca="false">IF(Test!$J87="","",INDEX('Soru Havuzu'!$I$2:$I$1001,Test!$J87))</f>
        <v/>
      </c>
      <c r="C79" s="12" t="str">
        <f aca="false">IF(B79="","",INDEX(Test!$C87:$F87,MATCH(B79,{"A","B","C","D"},0)))</f>
        <v/>
      </c>
    </row>
    <row r="80" customFormat="false" ht="15" hidden="false" customHeight="false" outlineLevel="0" collapsed="false">
      <c r="A80" s="12" t="str">
        <f aca="false">Test!A88</f>
        <v/>
      </c>
      <c r="B80" s="5" t="str">
        <f aca="false">IF(Test!$J88="","",INDEX('Soru Havuzu'!$I$2:$I$1001,Test!$J88))</f>
        <v/>
      </c>
      <c r="C80" s="12" t="str">
        <f aca="false">IF(B80="","",INDEX(Test!$C88:$F88,MATCH(B80,{"A","B","C","D"},0)))</f>
        <v/>
      </c>
    </row>
    <row r="81" customFormat="false" ht="15" hidden="false" customHeight="false" outlineLevel="0" collapsed="false">
      <c r="A81" s="12" t="str">
        <f aca="false">Test!A89</f>
        <v/>
      </c>
      <c r="B81" s="5" t="str">
        <f aca="false">IF(Test!$J89="","",INDEX('Soru Havuzu'!$I$2:$I$1001,Test!$J89))</f>
        <v/>
      </c>
      <c r="C81" s="12" t="str">
        <f aca="false">IF(B81="","",INDEX(Test!$C89:$F89,MATCH(B81,{"A","B","C","D"},0)))</f>
        <v/>
      </c>
    </row>
    <row r="82" customFormat="false" ht="15" hidden="false" customHeight="false" outlineLevel="0" collapsed="false">
      <c r="A82" s="12" t="str">
        <f aca="false">Test!A90</f>
        <v/>
      </c>
      <c r="B82" s="5" t="str">
        <f aca="false">IF(Test!$J90="","",INDEX('Soru Havuzu'!$I$2:$I$1001,Test!$J90))</f>
        <v/>
      </c>
      <c r="C82" s="12" t="str">
        <f aca="false">IF(B82="","",INDEX(Test!$C90:$F90,MATCH(B82,{"A","B","C","D"},0)))</f>
        <v/>
      </c>
    </row>
    <row r="83" customFormat="false" ht="15" hidden="false" customHeight="false" outlineLevel="0" collapsed="false">
      <c r="A83" s="12" t="str">
        <f aca="false">Test!A91</f>
        <v/>
      </c>
      <c r="B83" s="5" t="str">
        <f aca="false">IF(Test!$J91="","",INDEX('Soru Havuzu'!$I$2:$I$1001,Test!$J91))</f>
        <v/>
      </c>
      <c r="C83" s="12" t="str">
        <f aca="false">IF(B83="","",INDEX(Test!$C91:$F91,MATCH(B83,{"A","B","C","D"},0)))</f>
        <v/>
      </c>
    </row>
    <row r="84" customFormat="false" ht="15" hidden="false" customHeight="false" outlineLevel="0" collapsed="false">
      <c r="A84" s="12" t="str">
        <f aca="false">Test!A92</f>
        <v/>
      </c>
      <c r="B84" s="5" t="str">
        <f aca="false">IF(Test!$J92="","",INDEX('Soru Havuzu'!$I$2:$I$1001,Test!$J92))</f>
        <v/>
      </c>
      <c r="C84" s="12" t="str">
        <f aca="false">IF(B84="","",INDEX(Test!$C92:$F92,MATCH(B84,{"A","B","C","D"},0)))</f>
        <v/>
      </c>
    </row>
    <row r="85" customFormat="false" ht="15" hidden="false" customHeight="false" outlineLevel="0" collapsed="false">
      <c r="A85" s="12" t="str">
        <f aca="false">Test!A93</f>
        <v/>
      </c>
      <c r="B85" s="5" t="str">
        <f aca="false">IF(Test!$J93="","",INDEX('Soru Havuzu'!$I$2:$I$1001,Test!$J93))</f>
        <v/>
      </c>
      <c r="C85" s="12" t="str">
        <f aca="false">IF(B85="","",INDEX(Test!$C93:$F93,MATCH(B85,{"A","B","C","D"},0)))</f>
        <v/>
      </c>
    </row>
    <row r="86" customFormat="false" ht="15" hidden="false" customHeight="false" outlineLevel="0" collapsed="false">
      <c r="A86" s="12" t="str">
        <f aca="false">Test!A94</f>
        <v/>
      </c>
      <c r="B86" s="5" t="str">
        <f aca="false">IF(Test!$J94="","",INDEX('Soru Havuzu'!$I$2:$I$1001,Test!$J94))</f>
        <v/>
      </c>
      <c r="C86" s="12" t="str">
        <f aca="false">IF(B86="","",INDEX(Test!$C94:$F94,MATCH(B86,{"A","B","C","D"},0)))</f>
        <v/>
      </c>
    </row>
    <row r="87" customFormat="false" ht="15" hidden="false" customHeight="false" outlineLevel="0" collapsed="false">
      <c r="A87" s="12" t="str">
        <f aca="false">Test!A95</f>
        <v/>
      </c>
      <c r="B87" s="5" t="str">
        <f aca="false">IF(Test!$J95="","",INDEX('Soru Havuzu'!$I$2:$I$1001,Test!$J95))</f>
        <v/>
      </c>
      <c r="C87" s="12" t="str">
        <f aca="false">IF(B87="","",INDEX(Test!$C95:$F95,MATCH(B87,{"A","B","C","D"},0)))</f>
        <v/>
      </c>
    </row>
    <row r="88" customFormat="false" ht="15" hidden="false" customHeight="false" outlineLevel="0" collapsed="false">
      <c r="A88" s="12" t="str">
        <f aca="false">Test!A96</f>
        <v/>
      </c>
      <c r="B88" s="5" t="str">
        <f aca="false">IF(Test!$J96="","",INDEX('Soru Havuzu'!$I$2:$I$1001,Test!$J96))</f>
        <v/>
      </c>
      <c r="C88" s="12" t="str">
        <f aca="false">IF(B88="","",INDEX(Test!$C96:$F96,MATCH(B88,{"A","B","C","D"},0)))</f>
        <v/>
      </c>
    </row>
    <row r="89" customFormat="false" ht="15" hidden="false" customHeight="false" outlineLevel="0" collapsed="false">
      <c r="A89" s="12" t="str">
        <f aca="false">Test!A97</f>
        <v/>
      </c>
      <c r="B89" s="5" t="str">
        <f aca="false">IF(Test!$J97="","",INDEX('Soru Havuzu'!$I$2:$I$1001,Test!$J97))</f>
        <v/>
      </c>
      <c r="C89" s="12" t="str">
        <f aca="false">IF(B89="","",INDEX(Test!$C97:$F97,MATCH(B89,{"A","B","C","D"},0)))</f>
        <v/>
      </c>
    </row>
    <row r="90" customFormat="false" ht="15" hidden="false" customHeight="false" outlineLevel="0" collapsed="false">
      <c r="A90" s="12" t="str">
        <f aca="false">Test!A98</f>
        <v/>
      </c>
      <c r="B90" s="5" t="str">
        <f aca="false">IF(Test!$J98="","",INDEX('Soru Havuzu'!$I$2:$I$1001,Test!$J98))</f>
        <v/>
      </c>
      <c r="C90" s="12" t="str">
        <f aca="false">IF(B90="","",INDEX(Test!$C98:$F98,MATCH(B90,{"A","B","C","D"},0)))</f>
        <v/>
      </c>
    </row>
    <row r="91" customFormat="false" ht="15" hidden="false" customHeight="false" outlineLevel="0" collapsed="false">
      <c r="A91" s="12" t="str">
        <f aca="false">Test!A99</f>
        <v/>
      </c>
      <c r="B91" s="5" t="str">
        <f aca="false">IF(Test!$J99="","",INDEX('Soru Havuzu'!$I$2:$I$1001,Test!$J99))</f>
        <v/>
      </c>
      <c r="C91" s="12" t="str">
        <f aca="false">IF(B91="","",INDEX(Test!$C99:$F99,MATCH(B91,{"A","B","C","D"},0)))</f>
        <v/>
      </c>
    </row>
    <row r="92" customFormat="false" ht="15" hidden="false" customHeight="false" outlineLevel="0" collapsed="false">
      <c r="A92" s="12" t="str">
        <f aca="false">Test!A100</f>
        <v/>
      </c>
      <c r="B92" s="5" t="str">
        <f aca="false">IF(Test!$J100="","",INDEX('Soru Havuzu'!$I$2:$I$1001,Test!$J100))</f>
        <v/>
      </c>
      <c r="C92" s="12" t="str">
        <f aca="false">IF(B92="","",INDEX(Test!$C100:$F100,MATCH(B92,{"A","B","C","D"},0)))</f>
        <v/>
      </c>
    </row>
    <row r="93" customFormat="false" ht="15" hidden="false" customHeight="false" outlineLevel="0" collapsed="false">
      <c r="A93" s="12" t="str">
        <f aca="false">Test!A101</f>
        <v/>
      </c>
      <c r="B93" s="5" t="str">
        <f aca="false">IF(Test!$J101="","",INDEX('Soru Havuzu'!$I$2:$I$1001,Test!$J101))</f>
        <v/>
      </c>
      <c r="C93" s="12" t="str">
        <f aca="false">IF(B93="","",INDEX(Test!$C101:$F101,MATCH(B93,{"A","B","C","D"},0)))</f>
        <v/>
      </c>
    </row>
    <row r="94" customFormat="false" ht="15" hidden="false" customHeight="false" outlineLevel="0" collapsed="false">
      <c r="A94" s="12" t="str">
        <f aca="false">Test!A102</f>
        <v/>
      </c>
      <c r="B94" s="5" t="str">
        <f aca="false">IF(Test!$J102="","",INDEX('Soru Havuzu'!$I$2:$I$1001,Test!$J102))</f>
        <v/>
      </c>
      <c r="C94" s="12" t="str">
        <f aca="false">IF(B94="","",INDEX(Test!$C102:$F102,MATCH(B94,{"A","B","C","D"},0)))</f>
        <v/>
      </c>
    </row>
    <row r="95" customFormat="false" ht="15" hidden="false" customHeight="false" outlineLevel="0" collapsed="false">
      <c r="A95" s="12" t="str">
        <f aca="false">Test!A103</f>
        <v/>
      </c>
      <c r="B95" s="5" t="str">
        <f aca="false">IF(Test!$J103="","",INDEX('Soru Havuzu'!$I$2:$I$1001,Test!$J103))</f>
        <v/>
      </c>
      <c r="C95" s="12" t="str">
        <f aca="false">IF(B95="","",INDEX(Test!$C103:$F103,MATCH(B95,{"A","B","C","D"},0)))</f>
        <v/>
      </c>
    </row>
    <row r="96" customFormat="false" ht="15" hidden="false" customHeight="false" outlineLevel="0" collapsed="false">
      <c r="A96" s="12" t="str">
        <f aca="false">Test!A104</f>
        <v/>
      </c>
      <c r="B96" s="5" t="str">
        <f aca="false">IF(Test!$J104="","",INDEX('Soru Havuzu'!$I$2:$I$1001,Test!$J104))</f>
        <v/>
      </c>
      <c r="C96" s="12" t="str">
        <f aca="false">IF(B96="","",INDEX(Test!$C104:$F104,MATCH(B96,{"A","B","C","D"},0)))</f>
        <v/>
      </c>
    </row>
    <row r="97" customFormat="false" ht="15" hidden="false" customHeight="false" outlineLevel="0" collapsed="false">
      <c r="A97" s="12" t="str">
        <f aca="false">Test!A105</f>
        <v/>
      </c>
      <c r="B97" s="5" t="str">
        <f aca="false">IF(Test!$J105="","",INDEX('Soru Havuzu'!$I$2:$I$1001,Test!$J105))</f>
        <v/>
      </c>
      <c r="C97" s="12" t="str">
        <f aca="false">IF(B97="","",INDEX(Test!$C105:$F105,MATCH(B97,{"A","B","C","D"},0)))</f>
        <v/>
      </c>
    </row>
    <row r="98" customFormat="false" ht="15" hidden="false" customHeight="false" outlineLevel="0" collapsed="false">
      <c r="A98" s="12" t="str">
        <f aca="false">Test!A106</f>
        <v/>
      </c>
      <c r="B98" s="5" t="str">
        <f aca="false">IF(Test!$J106="","",INDEX('Soru Havuzu'!$I$2:$I$1001,Test!$J106))</f>
        <v/>
      </c>
      <c r="C98" s="12" t="str">
        <f aca="false">IF(B98="","",INDEX(Test!$C106:$F106,MATCH(B98,{"A","B","C","D"},0)))</f>
        <v/>
      </c>
    </row>
    <row r="99" customFormat="false" ht="15" hidden="false" customHeight="false" outlineLevel="0" collapsed="false">
      <c r="A99" s="12" t="str">
        <f aca="false">Test!A107</f>
        <v/>
      </c>
      <c r="B99" s="5" t="str">
        <f aca="false">IF(Test!$J107="","",INDEX('Soru Havuzu'!$I$2:$I$1001,Test!$J107))</f>
        <v/>
      </c>
      <c r="C99" s="12" t="str">
        <f aca="false">IF(B99="","",INDEX(Test!$C107:$F107,MATCH(B99,{"A","B","C","D"},0)))</f>
        <v/>
      </c>
    </row>
    <row r="100" customFormat="false" ht="15" hidden="false" customHeight="false" outlineLevel="0" collapsed="false">
      <c r="A100" s="12" t="str">
        <f aca="false">Test!A108</f>
        <v/>
      </c>
      <c r="B100" s="5" t="str">
        <f aca="false">IF(Test!$J108="","",INDEX('Soru Havuzu'!$I$2:$I$1001,Test!$J108))</f>
        <v/>
      </c>
      <c r="C100" s="12" t="str">
        <f aca="false">IF(B100="","",INDEX(Test!$C108:$F108,MATCH(B100,{"A","B","C","D"},0)))</f>
        <v/>
      </c>
    </row>
    <row r="101" customFormat="false" ht="15" hidden="false" customHeight="false" outlineLevel="0" collapsed="false">
      <c r="A101" s="12" t="str">
        <f aca="false">Test!A109</f>
        <v/>
      </c>
      <c r="B101" s="5" t="str">
        <f aca="false">IF(Test!$J109="","",INDEX('Soru Havuzu'!$I$2:$I$1001,Test!$J109))</f>
        <v/>
      </c>
      <c r="C101" s="12" t="str">
        <f aca="false">IF(B101="","",INDEX(Test!$C109:$F109,MATCH(B101,{"A","B","C","D"},0)))</f>
        <v/>
      </c>
    </row>
    <row r="102" customFormat="false" ht="15" hidden="false" customHeight="false" outlineLevel="0" collapsed="false">
      <c r="A102" s="12" t="str">
        <f aca="false">Test!A110</f>
        <v/>
      </c>
      <c r="B102" s="5" t="str">
        <f aca="false">IF(Test!$J110="","",INDEX('Soru Havuzu'!$I$2:$I$1001,Test!$J110))</f>
        <v/>
      </c>
      <c r="C102" s="12" t="str">
        <f aca="false">IF(B102="","",INDEX(Test!$C110:$F110,MATCH(B102,{"A","B","C","D"},0)))</f>
        <v/>
      </c>
    </row>
    <row r="103" customFormat="false" ht="15" hidden="false" customHeight="false" outlineLevel="0" collapsed="false">
      <c r="A103" s="12" t="str">
        <f aca="false">Test!A111</f>
        <v/>
      </c>
      <c r="B103" s="5" t="str">
        <f aca="false">IF(Test!$J111="","",INDEX('Soru Havuzu'!$I$2:$I$1001,Test!$J111))</f>
        <v/>
      </c>
      <c r="C103" s="12" t="str">
        <f aca="false">IF(B103="","",INDEX(Test!$C111:$F111,MATCH(B103,{"A","B","C","D"},0)))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2026-10-08T19:12:14Z</dcterms:created>
  <dc:creator>openpyxl</dc:creator>
  <dc:description/>
  <dc:language>en-US</dc:language>
  <cp:lastModifiedBy/>
  <dcterms:modified xsi:type="dcterms:W3CDTF">2026-10-08T19:12:14Z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